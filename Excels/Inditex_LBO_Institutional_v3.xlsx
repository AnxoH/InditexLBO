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BO Summary" sheetId="2" state="visible" r:id="rId2"/>
    <sheet xmlns:r="http://schemas.openxmlformats.org/officeDocument/2006/relationships" name="Active Case" sheetId="3" state="visible" r:id="rId3"/>
    <sheet xmlns:r="http://schemas.openxmlformats.org/officeDocument/2006/relationships" name="Debt &amp; Covenants" sheetId="4" state="visible" r:id="rId4"/>
    <sheet xmlns:r="http://schemas.openxmlformats.org/officeDocument/2006/relationships" name="Tax &amp; WACC" sheetId="5" state="visible" r:id="rId5"/>
    <sheet xmlns:r="http://schemas.openxmlformats.org/officeDocument/2006/relationships" name="Checks" sheetId="6" state="visible" r:id="rId6"/>
  </sheets>
  <externalReferences>
    <externalReference xmlns:r="http://schemas.openxmlformats.org/officeDocument/2006/relationships" r:id="rId7"/>
  </externalReferences>
  <definedNames>
    <definedName name="_1__123Graph_BCHART_5" hidden="1">'[1]#REF'!#REF!</definedName>
    <definedName name="_Order1" hidden="1">0</definedName>
    <definedName name="_Table1_In1" hidden="1">#REF!</definedName>
    <definedName name="_Table1_Out" hidden="1">#REF!</definedName>
    <definedName name="_Table2_In2" hidden="1">#REF!</definedName>
    <definedName name="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1e" hidden="1">#REF!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bc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nscount" hidden="1">1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S2DocOpenMode" hidden="1">"AS2DocumentEdit"</definedName>
    <definedName name="asdf" hidden="1">#REF!</definedName>
    <definedName name="b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cc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CIQWBGuid" hidden="1">"d41c40b3-ff5a-4b66-b647-8a035af2b7fc"</definedName>
    <definedName name="dsf" hidden="1">'[1]#REF'!#REF!</definedName>
    <definedName name="ee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gls_ACT_EST_ROW" hidden="1">#REF!</definedName>
    <definedName name="gls_ACT_FORM_OFFSET" hidden="1">#REF!</definedName>
    <definedName name="gls_AnalystEmpNoHeading" hidden="1">#REF!</definedName>
    <definedName name="gls_AnalystNameHeading" hidden="1">#REF!</definedName>
    <definedName name="gls_EST_FORM_OFFSET" hidden="1">#REF!</definedName>
    <definedName name="gls_EXTERNAL_COL_REF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LastPriceTargetRevised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Profile" hidden="1">#REF!</definedName>
    <definedName name="gls_GenRecComment" hidden="1">#REF!</definedName>
    <definedName name="gls_GenSheetVersion" hidden="1">#REF!</definedName>
    <definedName name="gls_genStockCore" hidden="1">#REF!</definedName>
    <definedName name="gls_genStockRec" hidden="1">#REF!</definedName>
    <definedName name="gls_GenTargetCurrency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YPE" hidden="1">#REF!</definedName>
    <definedName name="gls_PrincipalStockClas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PARE_YEARS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TEMP_PERIOD_CODE" hidden="1">#REF!</definedName>
    <definedName name="gls_YEAR_AE_CONTROL" hidden="1">#REF!</definedName>
    <definedName name="gls_YEAR_END_ROW" hidden="1">#REF!</definedName>
    <definedName name="IQ_ADDIN" hidden="1">"AUTO"</definedName>
    <definedName name="IQ_AE_BR" hidden="1">"c10"</definedName>
    <definedName name="IQ_AP_BR" hidden="1">"c34"</definedName>
    <definedName name="IQ_AR_BR" hidden="1">"c41"</definedName>
    <definedName name="IQ_ASSET_WRITEDOWN_BR" hidden="1">"c50"</definedName>
    <definedName name="IQ_ASSET_WRITEDOWN_CF_BR" hidden="1">"c53"</definedName>
    <definedName name="IQ_AVG_BROKER_REC_NO_REUT" hidden="1">"c5315"</definedName>
    <definedName name="IQ_AVG_BROKER_REC_REUT" hidden="1">"c3630"</definedName>
    <definedName name="IQ_CAPEX_BR" hidden="1">"c111"</definedName>
    <definedName name="IQ_CH" hidden="1">110000</definedName>
    <definedName name="IQ_CHANGE_AP_BR" hidden="1">"c135"</definedName>
    <definedName name="IQ_CHANGE_AR_BR" hidden="1">"c142"</definedName>
    <definedName name="IQ_CHANGE_OTHER_NET_OPER_ASSETS_BR" hidden="1">"c3595"</definedName>
    <definedName name="IQ_CHANGE_OTHER_WORK_CAP_BR" hidden="1">"c154"</definedName>
    <definedName name="IQ_COMMERCIAL_DOM" hidden="1">"c177"</definedName>
    <definedName name="IQ_COMMERCIAL_MORT" hidden="1">"c179"</definedName>
    <definedName name="IQ_COMMON_APIC_BR" hidden="1">"c185"</definedName>
    <definedName name="IQ_COMMON_ISSUED_BR" hidden="1">"c199"</definedName>
    <definedName name="IQ_COMMON_REP_BR" hidden="1">"c208"</definedName>
    <definedName name="IQ_CQ" hidden="1">5000</definedName>
    <definedName name="IQ_CURRENCY_GAIN_BR" hidden="1">"c236"</definedName>
    <definedName name="IQ_CURRENT_PORT_DEBT_BR" hidden="1">"c1567"</definedName>
    <definedName name="IQ_CY" hidden="1">10000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AILY" hidden="1">500000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NTM" hidden="1">700000</definedName>
    <definedName name="IQ_EARNINGS_ANNOUNCE_DATE_REUT" hidden="1">"c5314"</definedName>
    <definedName name="IQ_EBITDA_EST_REUT" hidden="1">"c3640"</definedName>
    <definedName name="IQ_EBITDA_HIGH_EST_REUT" hidden="1">"c3642"</definedName>
    <definedName name="IQ_EBITDA_LOW_EST_REUT" hidden="1">"c3643"</definedName>
    <definedName name="IQ_EBITDA_MEDIAN_EST_REUT" hidden="1">"c3641"</definedName>
    <definedName name="IQ_EBITDA_NUM_EST_REUT" hidden="1">"c3644"</definedName>
    <definedName name="IQ_EBITDA_STDDEV_EST_REUT" hidden="1">"c3645"</definedName>
    <definedName name="IQ_EBT_BR" hidden="1">"c378"</definedName>
    <definedName name="IQ_EBT_EXCL_BR" hidden="1">"c381"</definedName>
    <definedName name="IQ_EPS_EST_REUT" hidden="1">"c5453"</definedName>
    <definedName name="IQ_EPS_GW_EST_REUT" hidden="1">"c5389"</definedName>
    <definedName name="IQ_EPS_GW_HIGH_EST_REUT" hidden="1">"c5391"</definedName>
    <definedName name="IQ_EPS_GW_LOW_EST_REUT" hidden="1">"c5392"</definedName>
    <definedName name="IQ_EPS_GW_MEDIAN_EST_REUT" hidden="1">"c5390"</definedName>
    <definedName name="IQ_EPS_GW_NUM_EST_REUT" hidden="1">"c5393"</definedName>
    <definedName name="IQ_EPS_GW_STDDEV_EST_REUT" hidden="1">"c5394"</definedName>
    <definedName name="IQ_EPS_HIGH_EST_REUT" hidden="1">"c5454"</definedName>
    <definedName name="IQ_EPS_LOW_EST_REUT" hidden="1">"c5455"</definedName>
    <definedName name="IQ_EPS_MEDIAN_EST_REUT" hidden="1">"c5456"</definedName>
    <definedName name="IQ_EPS_NORM_EST_REUT" hidden="1">"c5326"</definedName>
    <definedName name="IQ_EPS_NORM_HIGH_EST_REUT" hidden="1">"c5328"</definedName>
    <definedName name="IQ_EPS_NORM_LOW_EST_REUT" hidden="1">"c5329"</definedName>
    <definedName name="IQ_EPS_NORM_MEDIAN_EST_REUT" hidden="1">"c5327"</definedName>
    <definedName name="IQ_EPS_NORM_NUM_EST_REUT" hidden="1">"c5330"</definedName>
    <definedName name="IQ_EPS_NORM_STDDEV_EST_REUT" hidden="1">"c5331"</definedName>
    <definedName name="IQ_EPS_NUM_EST_REUT" hidden="1">"c5451"</definedName>
    <definedName name="IQ_EPS_REPORTED_EST_REUT" hidden="1">"c5396"</definedName>
    <definedName name="IQ_EPS_REPORTED_HIGH_EST_REUT" hidden="1">"c5398"</definedName>
    <definedName name="IQ_EPS_REPORTED_LOW_EST_REUT" hidden="1">"c5399"</definedName>
    <definedName name="IQ_EPS_REPORTED_MEDIAN_EST_REUT" hidden="1">"c5397"</definedName>
    <definedName name="IQ_EPS_REPORTED_NUM_EST_REUT" hidden="1">"c5400"</definedName>
    <definedName name="IQ_EPS_REPORTED_STDDEV_EST_REUT" hidden="1">"c5401"</definedName>
    <definedName name="IQ_EPS_STDDEV_EST_REUT" hidden="1">"c5452"</definedName>
    <definedName name="IQ_EST_ACT_EPS_GW_REUT" hidden="1">"c5395"</definedName>
    <definedName name="IQ_EST_ACT_EPS_NORM_REUT" hidden="1">"c5332"</definedName>
    <definedName name="IQ_EST_ACT_EPS_REPORTED_REUT" hidden="1">"c5402"</definedName>
    <definedName name="IQ_EST_ACT_FFO_REUT" hidden="1">"c3843"</definedName>
    <definedName name="IQ_EST_CURRENCY_REUT" hidden="1">"c5437"</definedName>
    <definedName name="IQ_EST_DATE_REUT" hidden="1">"c5438"</definedName>
    <definedName name="IQ_EST_EPS_GROWTH_1YR_REUT" hidden="1">"c3646"</definedName>
    <definedName name="IQ_EST_EPS_GROWTH_5YR_REUT" hidden="1">"c3633"</definedName>
    <definedName name="IQ_EST_EPS_GROWTH_Q_1YR_REUT" hidden="1">"c5410"</definedName>
    <definedName name="IQ_EST_EPS_GW_DIFF_REUT" hidden="1">"c5429"</definedName>
    <definedName name="IQ_EST_EPS_GW_SURPRISE_PERCENT_REUT" hidden="1">"c5430"</definedName>
    <definedName name="IQ_EST_EPS_NORM_DIFF_REUT" hidden="1">"c5411"</definedName>
    <definedName name="IQ_EST_EPS_NORM_SURPRISE_PERCENT_REUT" hidden="1">"c5412"</definedName>
    <definedName name="IQ_EST_EPS_REPORT_DIFF_REUT" hidden="1">"c5431"</definedName>
    <definedName name="IQ_EST_EPS_REPORT_SURPRISE_PERCENT_REUT" hidden="1">"c5432"</definedName>
    <definedName name="IQ_EST_FFO_DIFF_REUT" hidden="1">"c3890"</definedName>
    <definedName name="IQ_EST_FFO_SURPRISE_PERCENT_REUT" hidden="1">"c3891"</definedName>
    <definedName name="IQ_EST_NUM_BUY_REUT" hidden="1">"c3869"</definedName>
    <definedName name="IQ_EST_NUM_HOLD_REUT" hidden="1">"c3871"</definedName>
    <definedName name="IQ_EST_NUM_OUTPERFORM_REUT" hidden="1">"c3870"</definedName>
    <definedName name="IQ_EST_NUM_SELL_REUT" hidden="1">"c3873"</definedName>
    <definedName name="IQ_EST_NUM_UNDERPERFORM_REUT" hidden="1">"c3872"</definedName>
    <definedName name="IQ_EXTRA_ACC_ITEMS_BR" hidden="1">"c412"</definedName>
    <definedName name="IQ_FFO_EST_REUT" hidden="1">"c3837"</definedName>
    <definedName name="IQ_FFO_HIGH_EST_REUT" hidden="1">"c3839"</definedName>
    <definedName name="IQ_FFO_LOW_EST_REUT" hidden="1">"c3840"</definedName>
    <definedName name="IQ_FFO_MEDIAN_EST_REUT" hidden="1">"c3838"</definedName>
    <definedName name="IQ_FFO_NUM_EST_REUT" hidden="1">"c3841"</definedName>
    <definedName name="IQ_FFO_STDDEV_EST_REUT" hidden="1">"c3842"</definedName>
    <definedName name="IQ_FH" hidden="1">100000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W_AMORT_BR" hidden="1">"c532"</definedName>
    <definedName name="IQ_GW_INTAN_AMORT_BR" hidden="1">"c1470"</definedName>
    <definedName name="IQ_GW_INTAN_AMORT_CF_BR" hidden="1">"c1473"</definedName>
    <definedName name="IQ_HIGH_TARGET_PRICE_REUT" hidden="1">"c5317"</definedName>
    <definedName name="IQ_INC_EQUITY_BR" hidden="1">"c550"</definedName>
    <definedName name="IQ_INS_SETTLE_BR" hidden="1">"c572"</definedName>
    <definedName name="IQ_INT_EXP_BR" hidden="1">"c586"</definedName>
    <definedName name="IQ_INT_INC_BR" hidden="1">"c593"</definedName>
    <definedName name="IQ_INVEST_LOANS_CF_BR" hidden="1">"c630"</definedName>
    <definedName name="IQ_INVEST_SECURITY_CF_BR" hidden="1">"c639"</definedName>
    <definedName name="IQ_LATESTK" hidden="1">1000</definedName>
    <definedName name="IQ_LATESTQ" hidden="1">500</definedName>
    <definedName name="IQ_LEGAL_SETTLE_BR" hidden="1">"c649"</definedName>
    <definedName name="IQ_LOANS_CF_BR" hidden="1">"c661"</definedName>
    <definedName name="IQ_LOW_TARGET_PRICE_REUT" hidden="1">"c5318"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" hidden="1">2000</definedName>
    <definedName name="IQ_LTMMONTH" hidden="1">120000</definedName>
    <definedName name="IQ_MEDIAN_TARGET_PRICE_REUT" hidden="1">"c5316"</definedName>
    <definedName name="IQ_MERGER_BR" hidden="1">"c715"</definedName>
    <definedName name="IQ_MERGER_RESTRUCTURE_BR" hidden="1">"c721"</definedName>
    <definedName name="IQ_MINORITY_INTEREST_BR" hidden="1">"c729"</definedName>
    <definedName name="IQ_MKTCAP_TOTAL_REV_FWD_REUT" hidden="1">"c4048"</definedName>
    <definedName name="IQ_MONTH" hidden="1">15000</definedName>
    <definedName name="IQ_MTD" hidden="1">800000</definedName>
    <definedName name="IQ_NAMES_REVISION_DATE_" hidden="1">41180.5528009259</definedName>
    <definedName name="IQ_NAV_ACT_OR_EST" hidden="1">"c2225"</definedName>
    <definedName name="IQ_NET_DEBT_ISSUED_BR" hidden="1">"c753"</definedName>
    <definedName name="IQ_NET_INT_INC_BR" hidden="1">"c765"</definedName>
    <definedName name="IQ_NTM" hidden="1">6000</definedName>
    <definedName name="IQ_OPENED55" hidden="1">1</definedName>
    <definedName name="IQ_OPER_INC_BR" hidden="1">"c850"</definedName>
    <definedName name="IQ_OTHER_AMORT_BR" hidden="1">"c5566"</definedName>
    <definedName name="IQ_OTHER_ASSETS_BR" hidden="1">"c862"</definedName>
    <definedName name="IQ_OTHER_CA_SUPPL_BR" hidden="1">"c871"</definedName>
    <definedName name="IQ_OTHER_CL_SUPPL_BR" hidden="1">"c880"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TAN_BR" hidden="1">"c909"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T_ASSETS_BR" hidden="1">"c948"</definedName>
    <definedName name="IQ_OTHER_NON_OPER_EXP_BR" hidden="1">"c957"</definedName>
    <definedName name="IQ_OTHER_NON_OPER_EXP_SUPPL_BR" hidden="1">"c962"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V_BR" hidden="1">"c1011"</definedName>
    <definedName name="IQ_OTHER_REV_SUPPL_BR" hidden="1">"c1016"</definedName>
    <definedName name="IQ_OTHER_UNUSUAL_BR" hidden="1">"c1561"</definedName>
    <definedName name="IQ_OTHER_UNUSUAL_SUPPL_BR" hidden="1">"c1496"</definedName>
    <definedName name="IQ_PC_WRITTEN" hidden="1">"c1027"</definedName>
    <definedName name="IQ_PE_EXCL_FWD_REUT" hidden="1">"c4049"</definedName>
    <definedName name="IQ_PEG_FWD_REUT" hidden="1">"c4052"</definedName>
    <definedName name="IQ_PERCENT_CHANGE_EST_FFO_12MONTHS" hidden="1">"c1828"</definedName>
    <definedName name="IQ_PERCENT_CHANGE_EST_FFO_12MONTHS_REUT" hidden="1">"c3938"</definedName>
    <definedName name="IQ_PERCENT_CHANGE_EST_FFO_18MONTHS" hidden="1">"c1829"</definedName>
    <definedName name="IQ_PERCENT_CHANGE_EST_FFO_18MONTHS_REUT" hidden="1">"c3939"</definedName>
    <definedName name="IQ_PERCENT_CHANGE_EST_FFO_3MONTHS" hidden="1">"c1825"</definedName>
    <definedName name="IQ_PERCENT_CHANGE_EST_FFO_3MONTHS_REUT" hidden="1">"c3935"</definedName>
    <definedName name="IQ_PERCENT_CHANGE_EST_FFO_6MONTHS" hidden="1">"c1826"</definedName>
    <definedName name="IQ_PERCENT_CHANGE_EST_FFO_6MONTHS_REUT" hidden="1">"c3936"</definedName>
    <definedName name="IQ_PERCENT_CHANGE_EST_FFO_9MONTHS" hidden="1">"c1827"</definedName>
    <definedName name="IQ_PERCENT_CHANGE_EST_FFO_9MONTHS_REUT" hidden="1">"c3937"</definedName>
    <definedName name="IQ_PERCENT_CHANGE_EST_FFO_DAY" hidden="1">"c1822"</definedName>
    <definedName name="IQ_PERCENT_CHANGE_EST_FFO_DAY_REUT" hidden="1">"c3933"</definedName>
    <definedName name="IQ_PERCENT_CHANGE_EST_FFO_MONTH" hidden="1">"c1824"</definedName>
    <definedName name="IQ_PERCENT_CHANGE_EST_FFO_MONTH_REUT" hidden="1">"c3934"</definedName>
    <definedName name="IQ_PERCENT_CHANGE_EST_FFO_WEEK" hidden="1">"c1823"</definedName>
    <definedName name="IQ_PERCENT_CHANGE_EST_FFO_WEEK_REUT" hidden="1">"c3964"</definedName>
    <definedName name="IQ_PREF_ISSUED_BR" hidden="1">"c1047"</definedName>
    <definedName name="IQ_PREF_OTHER_BR" hidden="1">"c1055"</definedName>
    <definedName name="IQ_PREF_REP_BR" hidden="1">"c1062"</definedName>
    <definedName name="IQ_PRICE_TARGET_REUT" hidden="1">"c3631"</definedName>
    <definedName name="IQ_QTD" hidden="1">750000</definedName>
    <definedName name="IQ_RESIDENTIAL_LOANS" hidden="1">"c1102"</definedName>
    <definedName name="IQ_RESTRUCTURE_BR" hidden="1">"c1106"</definedName>
    <definedName name="IQ_RETURN_ASSETS_BROK" hidden="1">"c1115"</definedName>
    <definedName name="IQ_RETURN_EQUITY_BROK" hidden="1">"c1120"</definedName>
    <definedName name="IQ_REV_STDDEV_EST_REUT" hidden="1">"c3639"</definedName>
    <definedName name="IQ_REVENUE_EST_REUT" hidden="1">"c3634"</definedName>
    <definedName name="IQ_REVENUE_HIGH_EST_REUT" hidden="1">"c3636"</definedName>
    <definedName name="IQ_REVENUE_LOW_EST_REUT" hidden="1">"c3637"</definedName>
    <definedName name="IQ_REVENUE_MEDIAN_EST_REUT" hidden="1">"c3635"</definedName>
    <definedName name="IQ_REVENUE_NUM_EST_REUT" hidden="1">"c3638"</definedName>
    <definedName name="IQ_SALE_INTAN_CF_BR" hidden="1">"c1133"</definedName>
    <definedName name="IQ_SALE_PPE_CF_BR" hidden="1">"c1139"</definedName>
    <definedName name="IQ_SALE_REAL_ESTATE_CF_BR" hidden="1">"c1145"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TARGET_PRICE_NUM_REUT" hidden="1">"c5319"</definedName>
    <definedName name="IQ_TARGET_PRICE_STDDEV_REUT" hidden="1">"c5320"</definedName>
    <definedName name="IQ_TEV_EBITDA_FWD_REUT" hidden="1">"c4050"</definedName>
    <definedName name="IQ_TEV_TOTAL_REV_FWD_REUT" hidden="1">"c4051"</definedName>
    <definedName name="IQ_TODAY" hidden="1">0</definedName>
    <definedName name="IQ_TOTAL_AR_BR" hidden="1">"c1231"</definedName>
    <definedName name="IQ_TOTAL_DEBT_ISSUED_BR" hidden="1">"c1253"</definedName>
    <definedName name="IQ_TOTAL_DEBT_REPAID_BR" hidden="1">"c1260"</definedName>
    <definedName name="IQ_TOTAL_LIAB_BR" hidden="1">"c1278"</definedName>
    <definedName name="IQ_TOTAL_OPER_EXP_BR" hidden="1">"c1284"</definedName>
    <definedName name="IQ_TOTAL_REV_BR" hidden="1">"c1303"</definedName>
    <definedName name="IQ_TOTAL_UNUSUAL_BR" hidden="1">"c5517"</definedName>
    <definedName name="IQ_TREASURY_OTHER_EQUITY_BR" hidden="1">"c1314"</definedName>
    <definedName name="IQ_UNEARN_REV_CURRENT_BR" hidden="1">"c1324"</definedName>
    <definedName name="IQ_WEEK" hidden="1">50000</definedName>
    <definedName name="IQ_YTD" hidden="1">3000</definedName>
    <definedName name="IQ_YTDMONTH" hidden="1">130000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ll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l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p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UB_FileID" hidden="1">"L10003649.xls"</definedName>
    <definedName name="PUB_UserID" hidden="1">"MAYERX"</definedName>
    <definedName name="qq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edo" hidden="1">{#N/A,#N/A,FALSE,"ACQ_GRAPHS";#N/A,#N/A,FALSE,"T_1 GRAPHS";#N/A,#N/A,FALSE,"T_2 GRAPHS";#N/A,#N/A,FALSE,"COMB_GRAPHS"}</definedName>
    <definedName name="r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encount" hidden="1">1</definedName>
    <definedName name="SSSS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xtRefCopyRangeCount" hidden="1">4</definedName>
    <definedName name="t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vv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OMBINED." hidden="1">{#N/A,#N/A,FALSE,"INPUTS";#N/A,#N/A,FALSE,"PROFORMA BSHEET";#N/A,#N/A,FALSE,"COMBINED";#N/A,#N/A,FALSE,"HIGH YIELD";#N/A,#N/A,FALSE,"COMB_GRAPHS"}</definedName>
    <definedName name="wrn.DCF._.II._.Report." hidden="1">{#N/A,#N/A,FALSE,"Cover";#N/A,#N/A,FALSE,"Pres";#N/A,#N/A,FALSE,"Output";#N/A,#N/A,FALSE,"DCF";#N/A,#N/A,FALSE,"Control (In)";#N/A,#N/A,FALSE,"Broker (In)";#N/A,#N/A,FALSE,"In-House (In)";#N/A,#N/A,FALSE,"Ass";#N/A,#N/A,FALSE,"WACC";#N/A,#N/A,FALSE,"Check (In)"}</definedName>
    <definedName name="wrn.Full._.model.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GRAPHS." hidden="1">{#N/A,#N/A,FALSE,"ACQ_GRAPHS";#N/A,#N/A,FALSE,"T_1 GRAPHS";#N/A,#N/A,FALSE,"T_2 GRAPHS";#N/A,#N/A,FALSE,"COMB_GRAPHS"}</definedName>
    <definedName name="wrn.Print." hidden="1">{"vi1",#N/A,FALSE,"Financial Statements";"vi2",#N/A,FALSE,"Financial Statements";#N/A,#N/A,FALSE,"DCF"}</definedName>
    <definedName name="wrn.PTCP." hidden="1">{#N/A,#N/A,TRUE,"1";#N/A,#N/A,TRUE,"2";#N/A,#N/A,TRUE,"3";#N/A,#N/A,TRUE,"4";#N/A,#N/A,TRUE,"5";#N/A,#N/A,TRUE,"6";#N/A,#N/A,TRUE,"7";#N/A,#N/A,TRUE,"8";#N/A,#N/A,TRUE,"9"}</definedName>
    <definedName name="wrn.PTMP96." hidden="1">{#N/A,#N/A,FALSE,"1";#N/A,#N/A,FALSE,"2";#N/A,#N/A,FALSE,"3";#N/A,#N/A,FALSE,"4";#N/A,#N/A,FALSE,"5";#N/A,#N/A,FALSE,"6";#N/A,#N/A,FALSE,"7";#N/A,#N/A,FALSE,"8"}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y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_);\(#,##0.0\);&quot;- &quot;"/>
    <numFmt numFmtId="165" formatCode="#,##0.0%_);\(#,##0.0%\);&quot;- &quot;"/>
    <numFmt numFmtId="166" formatCode="#,##0.0&quot;x&quot;_);\(#,##0.0&quot;x&quot;\);&quot;- &quot;"/>
    <numFmt numFmtId="167" formatCode="#,##0.00_);\(#,##0.00\);&quot;- &quot;"/>
    <numFmt numFmtId="168" formatCode="0&quot;A&quot;"/>
    <numFmt numFmtId="169" formatCode="0&quot;E&quot;"/>
    <numFmt numFmtId="170" formatCode="#,##0.00&quot;x&quot;_);\(#,##0.00&quot;x&quot;\);&quot;- &quot;"/>
    <numFmt numFmtId="171" formatCode="#,##0.0%_);(#,##0.0%);&quot;- &quot;"/>
    <numFmt numFmtId="172" formatCode="#,##0.0&quot;x&quot;_);(#,##0.0&quot;x&quot;);&quot;- &quot;"/>
    <numFmt numFmtId="173" formatCode="#,##0.0_);(#,##0.0);&quot;- &quot;"/>
    <numFmt numFmtId="174" formatCode="#,##0.0&quot;x (GP MOIC)&quot;"/>
    <numFmt numFmtId="175" formatCode="#,##0.0&quot;x (MOIC)&quot;"/>
  </numFmts>
  <fonts count="14">
    <font>
      <name val="Arial"/>
      <family val="2"/>
      <color theme="1"/>
      <sz val="8"/>
    </font>
    <font>
      <name val="Aptos Narrow"/>
      <family val="2"/>
      <color theme="1"/>
      <sz val="11"/>
      <scheme val="minor"/>
    </font>
    <font>
      <name val="Arial"/>
      <family val="2"/>
      <color theme="0"/>
      <sz val="8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b val="1"/>
      <i val="1"/>
      <color theme="1"/>
      <sz val="8"/>
    </font>
    <font>
      <name val="Arial"/>
      <b val="1"/>
      <color rgb="FF4A5568"/>
      <sz val="8"/>
    </font>
    <font>
      <name val="Arial"/>
      <b val="1"/>
      <color rgb="FF000000"/>
      <sz val="8"/>
    </font>
    <font>
      <name val="Arial"/>
      <i val="1"/>
      <color rgb="FF333333"/>
      <sz val="8"/>
    </font>
    <font>
      <name val="Arial"/>
      <b val="1"/>
      <color rgb="FF0000FF"/>
      <sz val="8"/>
    </font>
    <font>
      <name val="Arial"/>
      <color rgb="FF000000"/>
      <sz val="8"/>
    </font>
    <font>
      <name val="Arial"/>
      <color rgb="FF0000FF"/>
      <sz val="8"/>
    </font>
    <font>
      <name val="Arial"/>
      <color rgb="FF008000"/>
      <sz val="8"/>
    </font>
    <font>
      <name val="Arial"/>
      <b val="1"/>
      <color rgb="FF008000"/>
      <sz val="8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rgb="FFD6DDE7"/>
      </patternFill>
    </fill>
    <fill>
      <patternFill patternType="solid">
        <fgColor rgb="FFEDEDED"/>
      </patternFill>
    </fill>
    <fill>
      <patternFill patternType="solid">
        <fgColor rgb="FFF7F9FC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6F4EA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top style="thin">
        <color rgb="FF000000"/>
      </top>
      <bottom style="double">
        <color rgb="FF000000"/>
      </bottom>
    </border>
  </borders>
  <cellStyleXfs count="2">
    <xf numFmtId="0" fontId="0" fillId="0" borderId="0"/>
    <xf numFmtId="0" fontId="1" fillId="0" borderId="0"/>
  </cellStyleXfs>
  <cellXfs count="207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applyAlignment="1" pivotButton="0" quotePrefix="0" xfId="0">
      <alignment horizontal="right" vertical="center"/>
    </xf>
    <xf numFmtId="0" fontId="4" fillId="2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10" fillId="0" borderId="0" pivotButton="0" quotePrefix="0" xfId="0"/>
    <xf numFmtId="164" fontId="8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9" fillId="7" borderId="2" applyAlignment="1" pivotButton="0" quotePrefix="0" xfId="0">
      <alignment horizontal="right" vertical="center"/>
    </xf>
    <xf numFmtId="1" fontId="9" fillId="7" borderId="2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166" fontId="9" fillId="7" borderId="2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10" fontId="9" fillId="7" borderId="2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1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165" fontId="7" fillId="8" borderId="2" applyAlignment="1" pivotButton="0" quotePrefix="0" xfId="0">
      <alignment horizontal="right" vertical="center"/>
    </xf>
    <xf numFmtId="166" fontId="7" fillId="8" borderId="2" applyAlignment="1" pivotButton="0" quotePrefix="0" xfId="0">
      <alignment horizontal="right" vertical="center"/>
    </xf>
    <xf numFmtId="164" fontId="10" fillId="0" borderId="0" pivotButton="0" quotePrefix="0" xfId="0"/>
    <xf numFmtId="164" fontId="7" fillId="0" borderId="0" pivotButton="0" quotePrefix="0" xfId="0"/>
    <xf numFmtId="166" fontId="10" fillId="0" borderId="0" pivotButton="0" quotePrefix="0" xfId="0"/>
    <xf numFmtId="10" fontId="11" fillId="0" borderId="0" pivotButton="0" quotePrefix="0" xfId="0"/>
    <xf numFmtId="164" fontId="11" fillId="0" borderId="0" pivotButton="0" quotePrefix="0" xfId="0"/>
    <xf numFmtId="0" fontId="7" fillId="6" borderId="3" pivotButton="0" quotePrefix="0" xfId="0"/>
    <xf numFmtId="164" fontId="7" fillId="6" borderId="3" pivotButton="0" quotePrefix="0" xfId="0"/>
    <xf numFmtId="166" fontId="7" fillId="6" borderId="3" pivotButton="0" quotePrefix="0" xfId="0"/>
    <xf numFmtId="10" fontId="7" fillId="6" borderId="3" pivotButton="0" quotePrefix="0" xfId="0"/>
    <xf numFmtId="165" fontId="10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5" fontId="7" fillId="6" borderId="3" pivotButton="0" quotePrefix="0" xfId="0"/>
    <xf numFmtId="10" fontId="7" fillId="0" borderId="0" pivotButton="0" quotePrefix="0" xfId="0"/>
    <xf numFmtId="166" fontId="0" fillId="0" borderId="0" pivotButton="0" quotePrefix="0" xfId="0"/>
    <xf numFmtId="168" fontId="7" fillId="5" borderId="1" applyAlignment="1" pivotButton="0" quotePrefix="0" xfId="0">
      <alignment horizontal="center" vertical="center"/>
    </xf>
    <xf numFmtId="169" fontId="7" fillId="5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9" fontId="7" fillId="0" borderId="0" pivotButton="0" quotePrefix="0" xfId="0"/>
    <xf numFmtId="0" fontId="7" fillId="8" borderId="3" pivotButton="0" quotePrefix="0" xfId="0"/>
    <xf numFmtId="164" fontId="7" fillId="8" borderId="3" pivotButton="0" quotePrefix="0" xfId="0"/>
    <xf numFmtId="165" fontId="7" fillId="8" borderId="3" pivotButton="0" quotePrefix="0" xfId="0"/>
    <xf numFmtId="166" fontId="7" fillId="8" borderId="3" pivotButton="0" quotePrefix="0" xfId="0"/>
    <xf numFmtId="0" fontId="7" fillId="5" borderId="0" pivotButton="0" quotePrefix="0" xfId="0"/>
    <xf numFmtId="166" fontId="9" fillId="5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right" vertical="center"/>
    </xf>
    <xf numFmtId="165" fontId="9" fillId="5" borderId="0" applyAlignment="1" pivotButton="0" quotePrefix="0" xfId="0">
      <alignment horizontal="right" vertical="center"/>
    </xf>
    <xf numFmtId="165" fontId="10" fillId="0" borderId="2" pivotButton="0" quotePrefix="0" xfId="0"/>
    <xf numFmtId="166" fontId="10" fillId="0" borderId="2" pivotButton="0" quotePrefix="0" xfId="0"/>
    <xf numFmtId="165" fontId="7" fillId="6" borderId="2" pivotButton="0" quotePrefix="0" xfId="0"/>
    <xf numFmtId="166" fontId="7" fillId="6" borderId="2" pivotButton="0" quotePrefix="0" xfId="0"/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right" vertical="center"/>
    </xf>
    <xf numFmtId="3" fontId="9" fillId="7" borderId="2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right" vertical="center"/>
    </xf>
    <xf numFmtId="165" fontId="7" fillId="6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4" fontId="9" fillId="6" borderId="1" pivotButton="0" quotePrefix="0" xfId="0"/>
    <xf numFmtId="165" fontId="7" fillId="6" borderId="1" pivotButton="0" quotePrefix="0" xfId="0"/>
    <xf numFmtId="0" fontId="8" fillId="0" borderId="0" pivotButton="0" quotePrefix="0" xfId="0"/>
    <xf numFmtId="165" fontId="8" fillId="0" borderId="0" pivotButton="0" quotePrefix="0" xfId="0"/>
    <xf numFmtId="164" fontId="12" fillId="0" borderId="0" pivotButton="0" quotePrefix="0" xfId="0"/>
    <xf numFmtId="164" fontId="11" fillId="6" borderId="3" pivotButton="0" quotePrefix="0" xfId="0"/>
    <xf numFmtId="164" fontId="9" fillId="6" borderId="3" pivotButton="0" quotePrefix="0" xfId="0"/>
    <xf numFmtId="2" fontId="11" fillId="0" borderId="0" pivotButton="0" quotePrefix="0" xfId="0"/>
    <xf numFmtId="165" fontId="11" fillId="0" borderId="0" pivotButton="0" quotePrefix="0" xfId="0"/>
    <xf numFmtId="0" fontId="7" fillId="0" borderId="0" applyAlignment="1" pivotButton="0" quotePrefix="0" xfId="0">
      <alignment horizontal="right" vertical="center"/>
    </xf>
    <xf numFmtId="169" fontId="10" fillId="0" borderId="0" applyAlignment="1" pivotButton="0" quotePrefix="0" xfId="0">
      <alignment horizontal="center" vertical="center"/>
    </xf>
    <xf numFmtId="10" fontId="9" fillId="7" borderId="2" pivotButton="0" quotePrefix="0" xfId="0"/>
    <xf numFmtId="2" fontId="7" fillId="0" borderId="0" pivotButton="0" quotePrefix="0" xfId="0"/>
    <xf numFmtId="166" fontId="11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165" fontId="9" fillId="7" borderId="2" pivotButton="0" quotePrefix="0" xfId="0"/>
    <xf numFmtId="164" fontId="9" fillId="7" borderId="2" pivotButton="0" quotePrefix="0" xfId="0"/>
    <xf numFmtId="170" fontId="9" fillId="7" borderId="2" pivotButton="0" quotePrefix="0" xfId="0"/>
    <xf numFmtId="165" fontId="11" fillId="7" borderId="0" pivotButton="0" quotePrefix="0" xfId="0"/>
    <xf numFmtId="164" fontId="8" fillId="0" borderId="0" pivotButton="0" quotePrefix="0" xfId="0"/>
    <xf numFmtId="170" fontId="0" fillId="0" borderId="0" pivotButton="0" quotePrefix="0" xfId="0"/>
    <xf numFmtId="170" fontId="7" fillId="0" borderId="0" pivotButton="0" quotePrefix="0" xfId="0"/>
    <xf numFmtId="170" fontId="8" fillId="0" borderId="0" pivotButton="0" quotePrefix="0" xfId="0"/>
    <xf numFmtId="0" fontId="13" fillId="9" borderId="1" applyAlignment="1" pivotButton="0" quotePrefix="0" xfId="0">
      <alignment horizontal="center" vertical="center"/>
    </xf>
    <xf numFmtId="0" fontId="13" fillId="9" borderId="3" applyAlignment="1" pivotButton="0" quotePrefix="0" xfId="0">
      <alignment horizontal="center" vertical="center"/>
    </xf>
    <xf numFmtId="2" fontId="9" fillId="7" borderId="2" pivotButton="0" quotePrefix="0" xfId="0"/>
    <xf numFmtId="3" fontId="7" fillId="0" borderId="0" pivotButton="0" quotePrefix="0" xfId="0"/>
    <xf numFmtId="10" fontId="0" fillId="0" borderId="0" pivotButton="0" quotePrefix="0" xfId="0"/>
    <xf numFmtId="10" fontId="8" fillId="0" borderId="0" pivotButton="0" quotePrefix="0" xfId="0"/>
    <xf numFmtId="10" fontId="7" fillId="6" borderId="1" pivotButton="0" quotePrefix="0" xfId="0"/>
    <xf numFmtId="10" fontId="7" fillId="8" borderId="3" pivotButton="0" quotePrefix="0" xfId="0"/>
    <xf numFmtId="0" fontId="7" fillId="4" borderId="1" applyAlignment="1" pivotButton="0" quotePrefix="0" xfId="0">
      <alignment horizontal="right" vertical="center"/>
    </xf>
    <xf numFmtId="0" fontId="13" fillId="9" borderId="2" applyAlignment="1" pivotButton="0" quotePrefix="0" xfId="0">
      <alignment horizontal="center" vertical="center"/>
    </xf>
    <xf numFmtId="10" fontId="10" fillId="0" borderId="0" pivotButton="0" quotePrefix="0" xfId="0"/>
    <xf numFmtId="3" fontId="10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166" fontId="7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9" fillId="7" borderId="2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166" fontId="9" fillId="7" borderId="2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10" fillId="0" borderId="5" pivotButton="0" quotePrefix="0" xfId="0"/>
    <xf numFmtId="171" fontId="7" fillId="0" borderId="5" applyAlignment="1" pivotButton="0" quotePrefix="0" xfId="0">
      <alignment horizontal="right" vertical="center"/>
    </xf>
    <xf numFmtId="172" fontId="7" fillId="0" borderId="5" applyAlignment="1" pivotButton="0" quotePrefix="0" xfId="0">
      <alignment horizontal="right" vertical="center"/>
    </xf>
    <xf numFmtId="0" fontId="7" fillId="0" borderId="5" pivotButton="0" quotePrefix="0" xfId="0"/>
    <xf numFmtId="171" fontId="7" fillId="8" borderId="6" applyAlignment="1" pivotButton="0" quotePrefix="0" xfId="0">
      <alignment horizontal="right" vertical="center"/>
    </xf>
    <xf numFmtId="172" fontId="7" fillId="8" borderId="6" applyAlignment="1" pivotButton="0" quotePrefix="0" xfId="0">
      <alignment horizontal="right" vertical="center"/>
    </xf>
    <xf numFmtId="173" fontId="7" fillId="0" borderId="5" applyAlignment="1" pivotButton="0" quotePrefix="0" xfId="0">
      <alignment horizontal="right" vertical="center"/>
    </xf>
    <xf numFmtId="173" fontId="10" fillId="0" borderId="5" applyAlignment="1" pivotButton="0" quotePrefix="0" xfId="0">
      <alignment horizontal="right" vertical="center"/>
    </xf>
    <xf numFmtId="0" fontId="8" fillId="0" borderId="5" pivotButton="0" quotePrefix="0" xfId="0"/>
    <xf numFmtId="171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10" fillId="0" borderId="0" pivotButton="0" quotePrefix="0" xfId="0"/>
    <xf numFmtId="166" fontId="7" fillId="6" borderId="3" pivotButton="0" quotePrefix="0" xfId="0"/>
    <xf numFmtId="165" fontId="10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5" fontId="7" fillId="6" borderId="3" pivotButton="0" quotePrefix="0" xfId="0"/>
    <xf numFmtId="0" fontId="7" fillId="5" borderId="7" pivotButton="0" quotePrefix="0" xfId="0"/>
    <xf numFmtId="0" fontId="0" fillId="0" borderId="1" pivotButton="0" quotePrefix="0" xfId="0"/>
    <xf numFmtId="0" fontId="7" fillId="5" borderId="7" applyAlignment="1" pivotButton="0" quotePrefix="0" xfId="0">
      <alignment horizontal="right" vertical="center"/>
    </xf>
    <xf numFmtId="166" fontId="0" fillId="0" borderId="0" pivotButton="0" quotePrefix="0" xfId="0"/>
    <xf numFmtId="173" fontId="10" fillId="0" borderId="0" pivotButton="0" quotePrefix="0" xfId="0"/>
    <xf numFmtId="171" fontId="9" fillId="7" borderId="6" pivotButton="0" quotePrefix="0" xfId="0"/>
    <xf numFmtId="173" fontId="7" fillId="0" borderId="0" pivotButton="0" quotePrefix="0" xfId="0"/>
    <xf numFmtId="171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6" borderId="9" pivotButton="0" quotePrefix="0" xfId="0"/>
    <xf numFmtId="0" fontId="0" fillId="0" borderId="3" pivotButton="0" quotePrefix="0" xfId="0"/>
    <xf numFmtId="173" fontId="7" fillId="6" borderId="9" pivotButton="0" quotePrefix="0" xfId="0"/>
    <xf numFmtId="0" fontId="8" fillId="6" borderId="9" applyAlignment="1" pivotButton="0" quotePrefix="0" xfId="0">
      <alignment horizontal="right" vertical="center"/>
    </xf>
    <xf numFmtId="168" fontId="7" fillId="5" borderId="1" applyAlignment="1" pivotButton="0" quotePrefix="0" xfId="0">
      <alignment horizontal="center" vertical="center"/>
    </xf>
    <xf numFmtId="169" fontId="7" fillId="5" borderId="1" applyAlignment="1" pivotButton="0" quotePrefix="0" xfId="0">
      <alignment horizontal="center" vertical="center"/>
    </xf>
    <xf numFmtId="169" fontId="7" fillId="0" borderId="0" pivotButton="0" quotePrefix="0" xfId="0"/>
    <xf numFmtId="165" fontId="7" fillId="8" borderId="3" pivotButton="0" quotePrefix="0" xfId="0"/>
    <xf numFmtId="166" fontId="7" fillId="8" borderId="3" pivotButton="0" quotePrefix="0" xfId="0"/>
    <xf numFmtId="0" fontId="0" fillId="0" borderId="5" pivotButton="0" quotePrefix="0" xfId="0"/>
    <xf numFmtId="0" fontId="6" fillId="0" borderId="5" pivotButton="0" quotePrefix="0" xfId="0"/>
    <xf numFmtId="0" fontId="7" fillId="4" borderId="7" pivotButton="0" quotePrefix="0" xfId="0"/>
    <xf numFmtId="168" fontId="7" fillId="5" borderId="7" applyAlignment="1" pivotButton="0" quotePrefix="0" xfId="0">
      <alignment horizontal="center" vertical="center"/>
    </xf>
    <xf numFmtId="169" fontId="7" fillId="5" borderId="7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7" fillId="6" borderId="7" pivotButton="0" quotePrefix="0" xfId="0"/>
    <xf numFmtId="173" fontId="7" fillId="6" borderId="7" applyAlignment="1" pivotButton="0" quotePrefix="0" xfId="0">
      <alignment horizontal="right" vertical="center"/>
    </xf>
    <xf numFmtId="173" fontId="7" fillId="6" borderId="7" pivotButton="0" quotePrefix="0" xfId="0"/>
    <xf numFmtId="165" fontId="10" fillId="0" borderId="5" applyAlignment="1" pivotButton="0" quotePrefix="0" xfId="0">
      <alignment horizontal="right" vertical="center"/>
    </xf>
    <xf numFmtId="173" fontId="10" fillId="0" borderId="5" pivotButton="0" quotePrefix="0" xfId="0"/>
    <xf numFmtId="165" fontId="7" fillId="0" borderId="5" applyAlignment="1" pivotButton="0" quotePrefix="0" xfId="0">
      <alignment horizontal="right" vertical="center"/>
    </xf>
    <xf numFmtId="173" fontId="7" fillId="0" borderId="5" pivotButton="0" quotePrefix="0" xfId="0"/>
    <xf numFmtId="173" fontId="8" fillId="0" borderId="5" pivotButton="0" quotePrefix="0" xfId="0"/>
    <xf numFmtId="171" fontId="8" fillId="0" borderId="5" pivotButton="0" quotePrefix="0" xfId="0"/>
    <xf numFmtId="172" fontId="8" fillId="0" borderId="5" pivotButton="0" quotePrefix="0" xfId="0"/>
    <xf numFmtId="0" fontId="7" fillId="8" borderId="7" pivotButton="0" quotePrefix="0" xfId="0"/>
    <xf numFmtId="171" fontId="7" fillId="8" borderId="7" pivotButton="0" quotePrefix="0" xfId="0"/>
    <xf numFmtId="0" fontId="7" fillId="8" borderId="9" pivotButton="0" quotePrefix="0" xfId="0"/>
    <xf numFmtId="172" fontId="7" fillId="8" borderId="9" pivotButton="0" quotePrefix="0" xfId="0"/>
    <xf numFmtId="169" fontId="7" fillId="0" borderId="5" pivotButton="0" quotePrefix="0" xfId="0"/>
    <xf numFmtId="171" fontId="7" fillId="0" borderId="5" pivotButton="0" quotePrefix="0" xfId="0"/>
    <xf numFmtId="172" fontId="7" fillId="0" borderId="5" pivotButton="0" quotePrefix="0" xfId="0"/>
    <xf numFmtId="173" fontId="7" fillId="8" borderId="9" pivotButton="0" quotePrefix="0" xfId="0"/>
    <xf numFmtId="171" fontId="7" fillId="8" borderId="9" pivotButton="0" quotePrefix="0" xfId="0"/>
    <xf numFmtId="0" fontId="7" fillId="5" borderId="5" pivotButton="0" quotePrefix="0" xfId="0"/>
    <xf numFmtId="172" fontId="9" fillId="5" borderId="5" applyAlignment="1" pivotButton="0" quotePrefix="0" xfId="0">
      <alignment horizontal="right" vertical="center"/>
    </xf>
    <xf numFmtId="174" fontId="7" fillId="5" borderId="5" applyAlignment="1" pivotButton="0" quotePrefix="0" xfId="0">
      <alignment horizontal="right" vertical="center"/>
    </xf>
    <xf numFmtId="171" fontId="9" fillId="5" borderId="5" applyAlignment="1" pivotButton="0" quotePrefix="0" xfId="0">
      <alignment horizontal="right" vertical="center"/>
    </xf>
    <xf numFmtId="171" fontId="10" fillId="0" borderId="6" pivotButton="0" quotePrefix="0" xfId="0"/>
    <xf numFmtId="172" fontId="10" fillId="0" borderId="6" pivotButton="0" quotePrefix="0" xfId="0"/>
    <xf numFmtId="171" fontId="7" fillId="8" borderId="6" pivotButton="0" quotePrefix="0" xfId="0"/>
    <xf numFmtId="172" fontId="7" fillId="8" borderId="6" pivotButton="0" quotePrefix="0" xfId="0"/>
    <xf numFmtId="175" fontId="7" fillId="5" borderId="5" applyAlignment="1" pivotButton="0" quotePrefix="0" xfId="0">
      <alignment horizontal="right" vertical="center"/>
    </xf>
    <xf numFmtId="171" fontId="7" fillId="6" borderId="6" pivotButton="0" quotePrefix="0" xfId="0"/>
    <xf numFmtId="172" fontId="7" fillId="6" borderId="6" pivotButton="0" quotePrefix="0" xfId="0"/>
    <xf numFmtId="165" fontId="11" fillId="0" borderId="0" applyAlignment="1" pivotButton="0" quotePrefix="0" xfId="0">
      <alignment horizontal="right" vertical="center"/>
    </xf>
    <xf numFmtId="165" fontId="7" fillId="6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7" fillId="6" borderId="1" pivotButton="0" quotePrefix="0" xfId="0"/>
    <xf numFmtId="165" fontId="8" fillId="0" borderId="0" pivotButton="0" quotePrefix="0" xfId="0"/>
    <xf numFmtId="165" fontId="11" fillId="0" borderId="0" pivotButton="0" quotePrefix="0" xfId="0"/>
    <xf numFmtId="169" fontId="10" fillId="0" borderId="0" applyAlignment="1" pivotButton="0" quotePrefix="0" xfId="0">
      <alignment horizontal="center" vertical="center"/>
    </xf>
    <xf numFmtId="166" fontId="11" fillId="0" borderId="0" pivotButton="0" quotePrefix="0" xfId="0"/>
    <xf numFmtId="165" fontId="9" fillId="7" borderId="2" pivotButton="0" quotePrefix="0" xfId="0"/>
    <xf numFmtId="165" fontId="11" fillId="7" borderId="0" pivotButton="0" quotePrefix="0" xfId="0"/>
    <xf numFmtId="165" fontId="0" fillId="0" borderId="0" pivotButton="0" quotePrefix="0" xfId="0"/>
    <xf numFmtId="0" fontId="13" fillId="9" borderId="6" applyAlignment="1" pivotButton="0" quotePrefix="0" xfId="0">
      <alignment horizontal="center" vertical="center"/>
    </xf>
  </cellXfs>
  <cellStyles count="2">
    <cellStyle name="Normal" xfId="0" builtinId="0"/>
    <cellStyle name="Normal 2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../../Presentation%202003%2010/Valuation/01%20Viceroy-Scholar%20Model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1 Viceroy-Scholar Model"/>
      <sheetName val="#REF"/>
      <sheetName val="01_Viceroy-Scholar_Model"/>
    </sheetNames>
    <sheetDataSet>
      <sheetData sheetId="0" refreshError="1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10" defaultColWidth="9.140625" defaultRowHeight="10.2"/>
  <cols>
    <col width="3" customWidth="1" style="114" min="1" max="1"/>
    <col width="4" customWidth="1" style="114" min="2" max="2"/>
    <col width="6" customWidth="1" style="114" min="3" max="3"/>
    <col width="26" customWidth="1" style="114" min="4" max="4"/>
    <col width="96" customWidth="1" style="114" min="5" max="5"/>
    <col width="16" customWidth="1" style="114" min="6" max="6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Institutional Multi-Sheet LBO Model — 100% Take-Private + Amancio Ortega Rollover (2025A–2032E)</t>
        </is>
      </c>
      <c r="C2" s="3" t="n"/>
      <c r="D2" s="3" t="n"/>
      <c r="E2" s="3" t="n"/>
      <c r="F2" s="3" t="n"/>
    </row>
    <row r="4" ht="18" customHeight="1" s="114">
      <c r="C4" s="7" t="inlineStr">
        <is>
          <t>Tab</t>
        </is>
      </c>
      <c r="D4" s="8" t="inlineStr">
        <is>
          <t>Worksheet Name</t>
        </is>
      </c>
      <c r="E4" s="8" t="inlineStr">
        <is>
          <t>Key Legal, Financial &amp; Tax Features + Interactive Switches (Blue Font / Soft Yellow Fill)</t>
        </is>
      </c>
    </row>
    <row r="5" ht="37.95" customHeight="1" s="114">
      <c r="C5" s="9" t="n">
        <v>1</v>
      </c>
      <c r="D5" s="10" t="inlineStr">
        <is>
          <t>LBO Summary</t>
        </is>
      </c>
      <c r="E5" s="11" t="inlineStr">
        <is>
          <t>100% Take-Private Executive Dashboard: Amancio Ortega rolls over 25.0% (F14) into TopCo under the tax-neutral FEAC regime (Art. 87 LIS), while BidCo acquires 75.0% via a Take-Private OPA at a 12.0% premium (€62.07/sh). Includes €1,000m Minimum Operational Cash Floor (F18), TopCo Equity split (55.8% Sponsor PE / 44.2% Amancio), 4-Tier Institutional GP/LP Equity Waterfall (85% Passive LPs / 15% Lead GP, 8% Hurdle, 100% Catch-Up &amp; 20% Carried Interest), 7-Year Exit Matrix (2026E–2032E), and Dual Sensitivity Tables.</t>
        </is>
      </c>
    </row>
    <row r="6" ht="37.95" customHeight="1" s="114">
      <c r="C6" s="9" t="n">
        <v>2</v>
      </c>
      <c r="D6" s="10" t="inlineStr">
        <is>
          <t>Active Case</t>
        </is>
      </c>
      <c r="E6" s="11" t="inlineStr">
        <is>
          <t>100% Inditex Consolidated Operating Model (2022A–2032E): Because BidCo owns 100.0% of Inditex post-squeeze-out, there is zero minority leakage. Includes Scenario Selector (F8: 1=Base, 2=Bull, 3=Bear), P&amp;L with Pre-IFRS 16 Cash EBITDA Bridge (€9,433m in 2025A), Structural Negative Working Capital (NOF), and Capex split into Maintenance Capex (3.5% rev) vs. US &amp; Logistics Expansion Capex (1.7% rev, funded 100% organically).</t>
        </is>
      </c>
    </row>
    <row r="7" ht="37.95" customHeight="1" s="114">
      <c r="C7" s="9" t="n">
        <v>3</v>
      </c>
      <c r="D7" s="10" t="inlineStr">
        <is>
          <t>Debt &amp; Covenants</t>
        </is>
      </c>
      <c r="E7" s="11" t="inlineStr">
        <is>
          <t>Multi-Tranche Debt &amp; Covenant Schedule (2025A–2032E, 8.13x 100% EBITDA = €76,671m): Reference Euribor Swap (F7 = 3.354%) + Spread, Senior TLA (2.0x, 7y amortising), Senior TLB (3.5x, 7y bullet with 85.0% Optional Cash Sweep in E13), Subordinated Debt (1.5x PIK in H10), Sandra Ortega Vendor Loan (1.13x PIK in H11), €1,000m RCF as Seasonal Negative-NOF Backstop (E14), SFA Net Leverage Covenant, and Bank DSCR.</t>
        </is>
      </c>
    </row>
    <row r="8" ht="37.95" customHeight="1" s="114">
      <c r="C8" s="9" t="n">
        <v>4</v>
      </c>
      <c r="D8" s="10" t="inlineStr">
        <is>
          <t>Tax &amp; WACC</t>
        </is>
      </c>
      <c r="E8" s="11" t="inlineStr">
        <is>
          <t>100% Fiscal Consolidation (Art. 58, 16.5 &amp; 16.1 LIS) &amp; Dynamic WACC (2025A–2032E): Tests the Spanish Anti-LBO Debt Cap (Art. 16.5 LIS: Acquisition Debt is 28.6% of total purchase value, well below the 70% statutory limit) and applies the 30% Operating EBITDA interest cap (Art. 16.1 LIS) with 5-year carryforwards and 7-year upfront fee amortization. Tracks Dynamic Levered Beta (Beta_L), Cost of Equity (Ke), Effective Tax Shield Rate (t_eff), and Dynamic WACC from 2025A to 2032E.</t>
        </is>
      </c>
    </row>
    <row r="9" ht="37.95" customHeight="1" s="114">
      <c r="C9" s="9" t="n">
        <v>5</v>
      </c>
      <c r="D9" s="10" t="inlineStr">
        <is>
          <t>Checks</t>
        </is>
      </c>
      <c r="E9" s="11" t="inlineStr">
        <is>
          <t>Automated Legal, Financial &amp; Tax Audit Panel: 11 real-time cross-sheet integrity checks verifying Sources &amp; Uses balance, TopCo 100% equity sum, Art. 58 LIS (&gt;=75%) consolidation, Art. 16.5 LIS (&lt;70%) anti-LBO debt cap, TLA 100% amortisation, €1,000m Minimum Cash floor, Non-negative debt balances, D&amp;A reconciliation, SFA Leverage Covenant, DSCR compliance, and GP+LP Waterfall reconciliation.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topLeftCell="A2" zoomScale="115" zoomScaleNormal="115" workbookViewId="0">
      <selection activeCell="F11" sqref="F11"/>
    </sheetView>
  </sheetViews>
  <sheetFormatPr baseColWidth="10" defaultColWidth="9.140625" defaultRowHeight="10.2"/>
  <cols>
    <col width="2.85546875" customWidth="1" style="114" min="1" max="1"/>
    <col width="3.42578125" customWidth="1" style="114" min="2" max="2"/>
    <col width="4.42578125" customWidth="1" style="114" min="3" max="3"/>
    <col width="54" customWidth="1" style="114" min="4" max="4"/>
    <col width="12.42578125" customWidth="1" style="114" min="5" max="5"/>
    <col width="12" customWidth="1" style="114" min="6" max="11"/>
    <col width="12.42578125" customWidth="1" style="114" min="12" max="12"/>
    <col width="13.42578125" customWidth="1" style="114" min="13" max="14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LBO Summary — 100% Take-Private (OPA Exclusión) with Amancio Ortega Rollover to TopCo (Exits 2026E–2032E)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4" ht="16.05" customHeight="1" s="114">
      <c r="A4" s="12" t="inlineStr">
        <is>
          <t>&gt;</t>
        </is>
      </c>
      <c r="B4" s="12" t="inlineStr">
        <is>
          <t>&gt;</t>
        </is>
      </c>
      <c r="C4" s="13" t="inlineStr">
        <is>
          <t>1. Transaction Structure: 100% Take-Private via Free Float + Sandra Buyout &amp; Amancio Rollover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6">
      <c r="B6" s="9" t="n">
        <v>1</v>
      </c>
      <c r="D6" s="14" t="inlineStr">
        <is>
          <t>Deal Valuation &amp; Ownership Perimeter (100% Inditex)</t>
        </is>
      </c>
      <c r="E6" s="14" t="n"/>
      <c r="F6" s="15" t="inlineStr">
        <is>
          <t>Value / Input</t>
        </is>
      </c>
      <c r="H6" s="14" t="inlineStr">
        <is>
          <t>Multiples, Fees &amp; Headline Returns</t>
        </is>
      </c>
      <c r="I6" s="14" t="n"/>
      <c r="J6" s="14" t="n"/>
      <c r="K6" s="14" t="n"/>
      <c r="L6" s="15" t="inlineStr">
        <is>
          <t>Value / Input</t>
        </is>
      </c>
    </row>
    <row r="7">
      <c r="D7" s="115" t="inlineStr">
        <is>
          <t>100% Inditex FY25A Pre-IFRS 16 Cash EBITDA (€m)</t>
        </is>
      </c>
      <c r="F7" s="17">
        <f>'Active Case'!L30</f>
        <v/>
      </c>
      <c r="H7" s="115" t="inlineStr">
        <is>
          <t>Implied 100% Offer Enterprise Value (EV, €m)</t>
        </is>
      </c>
      <c r="L7" s="17">
        <f>+F13-F19</f>
        <v/>
      </c>
    </row>
    <row r="8">
      <c r="D8" s="113" t="inlineStr">
        <is>
          <t>100% Inditex FY25A Reported Post-IFRS 16 EBITDA (€m)</t>
        </is>
      </c>
      <c r="F8" s="19">
        <f>'Active Case'!L26</f>
        <v/>
      </c>
      <c r="H8" s="115" t="inlineStr">
        <is>
          <t>Implied Entry EV / Pre-IFRS 16 Cash EBITDA</t>
        </is>
      </c>
      <c r="L8" s="116">
        <f>+L7/F7</f>
        <v/>
      </c>
    </row>
    <row r="9">
      <c r="D9" s="113" t="inlineStr">
        <is>
          <t>Current undisturbed share price (€/sh)</t>
        </is>
      </c>
      <c r="F9" s="117" t="n">
        <v>55.42</v>
      </c>
      <c r="H9" s="113" t="inlineStr">
        <is>
          <t>Implied Entry EV / Reported Post-IFRS 16 EBITDA</t>
        </is>
      </c>
      <c r="L9" s="118">
        <f>+L7/F8</f>
        <v/>
      </c>
    </row>
    <row r="10">
      <c r="D10" s="115" t="inlineStr">
        <is>
          <t>Take-Private OPA Offer Premium (%)</t>
        </is>
      </c>
      <c r="F10" s="119" t="n">
        <v>0.12</v>
      </c>
      <c r="H10" s="115" t="inlineStr">
        <is>
          <t>Selected Exit Year (2026 to 2032)</t>
        </is>
      </c>
      <c r="L10" s="24" t="n">
        <v>2032</v>
      </c>
    </row>
    <row r="11">
      <c r="D11" s="115" t="inlineStr">
        <is>
          <t>OPA Offer Price per share (€/sh)</t>
        </is>
      </c>
      <c r="F11" s="120">
        <f>+F9*(1+F10)</f>
        <v/>
      </c>
      <c r="H11" s="115">
        <f>"Exit Multiple (Pre-IFRS 16 EBITDA @ "&amp;L10&amp;"E)"</f>
        <v/>
      </c>
      <c r="L11" s="121">
        <f>+L8</f>
        <v/>
      </c>
    </row>
    <row r="12">
      <c r="D12" s="113" t="inlineStr">
        <is>
          <t>Total diluted shares outstanding (m)</t>
        </is>
      </c>
      <c r="F12" s="27" t="n">
        <v>3116.652</v>
      </c>
      <c r="H12" s="113" t="inlineStr">
        <is>
          <t>M&amp;A / OPA Advisory Entry Fees (% of Cash Takeover)</t>
        </is>
      </c>
      <c r="L12" s="28" t="n">
        <v>0.01</v>
      </c>
    </row>
    <row r="13">
      <c r="D13" s="115" t="inlineStr">
        <is>
          <t>Implied 100% Inditex Offer Equity Value (€m)</t>
        </is>
      </c>
      <c r="F13" s="17">
        <f>+F11*F12</f>
        <v/>
      </c>
      <c r="H13" s="115" t="inlineStr">
        <is>
          <t>Exit Transaction / Re-IPO Underwriting Fees (% EV)</t>
        </is>
      </c>
      <c r="L13" s="29" t="n">
        <v>0.0075</v>
      </c>
    </row>
    <row r="14">
      <c r="D14" s="115" t="inlineStr">
        <is>
          <t>Amancio Ortega Rollover Stake to TopCo (%) [Pontegadea]</t>
        </is>
      </c>
      <c r="F14" s="29" t="n">
        <v>0.25</v>
      </c>
      <c r="H14" s="113" t="inlineStr">
        <is>
          <t>Upfront Debt Fee Tax Amortization Horizon (years)</t>
        </is>
      </c>
      <c r="L14" s="30" t="n">
        <v>7</v>
      </c>
    </row>
    <row r="15">
      <c r="D15" s="115" t="inlineStr">
        <is>
          <t>Cash Takeover Stake (%) [35.65% Free Float + 5.05% Sandra]</t>
        </is>
      </c>
      <c r="F15" s="31">
        <f>1-F14</f>
        <v/>
      </c>
      <c r="H15" s="115" t="inlineStr">
        <is>
          <t>Active Operating Scenario</t>
        </is>
      </c>
      <c r="L15" s="32">
        <f>'Active Case'!H8</f>
        <v/>
      </c>
    </row>
    <row r="16">
      <c r="D16" s="115" t="inlineStr">
        <is>
          <t>Amancio Ortega Rollover Equity Value in TopCo (€m)</t>
        </is>
      </c>
      <c r="F16" s="17">
        <f>+F13*F14</f>
        <v/>
      </c>
      <c r="H16" s="115" t="inlineStr">
        <is>
          <t>Art. 16.5 LIS Debt / Total Equity Value (&lt; 70% Cap)</t>
        </is>
      </c>
      <c r="L16" s="122">
        <f>+F30/F13</f>
        <v/>
      </c>
    </row>
    <row r="17">
      <c r="D17" s="115" t="inlineStr">
        <is>
          <t>Cash Takeover Purchase Price (Free Float + Sandra, €m)</t>
        </is>
      </c>
      <c r="F17" s="17">
        <f>+F13*F15</f>
        <v/>
      </c>
      <c r="H17" s="123" t="inlineStr">
        <is>
          <t>Gross Sponsor Pool IRR (K17) &amp; MOIC (L17)</t>
        </is>
      </c>
      <c r="K17" s="124">
        <f>+M69</f>
        <v/>
      </c>
      <c r="L17" s="125">
        <f>+N69</f>
        <v/>
      </c>
    </row>
    <row r="18">
      <c r="D18" s="115" t="inlineStr">
        <is>
          <t>Minimum operational cash retained on 100% BS (€m)</t>
        </is>
      </c>
      <c r="F18" s="34" t="n">
        <v>1000</v>
      </c>
      <c r="H18" s="126" t="inlineStr">
        <is>
          <t>Lead GP Net IRR (w/ 20% Carry) @ Selected Exit</t>
        </is>
      </c>
      <c r="L18" s="127">
        <f>+M97</f>
        <v/>
      </c>
    </row>
    <row r="19">
      <c r="D19" s="113" t="inlineStr">
        <is>
          <t>Existing statutory net cash on 100% BS (€m)</t>
        </is>
      </c>
      <c r="F19" s="27" t="n">
        <v>10958</v>
      </c>
      <c r="H19" s="126" t="inlineStr">
        <is>
          <t>Lead GP Net MOIC (w/ 20% Carry) @ Selected Exit</t>
        </is>
      </c>
      <c r="L19" s="128">
        <f>+N97</f>
        <v/>
      </c>
    </row>
    <row r="20">
      <c r="D20" s="115" t="inlineStr">
        <is>
          <t>100% Inditex Excess BS Cash Deployed at Close (€m)</t>
        </is>
      </c>
      <c r="F20" s="17">
        <f>+MAX(0,F19-F18)</f>
        <v/>
      </c>
      <c r="H20" s="126" t="inlineStr">
        <is>
          <t>Net Profit (€m): Lead GP (K20) / Gross Pool (L20)</t>
        </is>
      </c>
      <c r="K20" s="129">
        <f>+INDEX(F84:L84,1,MATCH($L$10,F48:L48,0))-J44</f>
        <v/>
      </c>
      <c r="L20" s="130">
        <f>+INDEX(F56:L56,1,MATCH($L$10,F48:L48,0))-E44</f>
        <v/>
      </c>
    </row>
    <row r="21">
      <c r="H21" s="131" t="inlineStr">
        <is>
          <t>Passive LPs Net IRR (K21) &amp; MOIC (L21) @ Exit</t>
        </is>
      </c>
      <c r="K21" s="132">
        <f>+INDEX(F85:L85,1,MATCH($L$10,F48:L48,0))</f>
        <v/>
      </c>
      <c r="L21" s="133">
        <f>+INDEX(F86:L86,1,MATCH($L$10,F48:L48,0))</f>
        <v/>
      </c>
    </row>
    <row r="22" ht="16.05" customHeight="1" s="114">
      <c r="A22" s="12" t="inlineStr">
        <is>
          <t>&gt;</t>
        </is>
      </c>
      <c r="B22" s="12" t="inlineStr">
        <is>
          <t>&gt;</t>
        </is>
      </c>
      <c r="C22" s="13" t="inlineStr">
        <is>
          <t>2. Debt Package (Sized on 100% EBITDA), Per-Tranche Upfront Fees, Sources &amp; Uses &amp; TopCo Equity</t>
        </is>
      </c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</row>
    <row r="24">
      <c r="B24" s="9" t="n">
        <v>2</v>
      </c>
      <c r="D24" s="14" t="inlineStr">
        <is>
          <t>LBO Debt Tranche / Facility (BidCo — 100% Inditex EBITDA)</t>
        </is>
      </c>
      <c r="E24" s="15" t="inlineStr">
        <is>
          <t>Committed (€m)</t>
        </is>
      </c>
      <c r="F24" s="15" t="inlineStr">
        <is>
          <t>Drawn (€m)</t>
        </is>
      </c>
      <c r="G24" s="15" t="inlineStr">
        <is>
          <t>xEBITDA (100%)</t>
        </is>
      </c>
      <c r="H24" s="15" t="inlineStr">
        <is>
          <t>Upfront Fee %</t>
        </is>
      </c>
      <c r="I24" s="15" t="inlineStr">
        <is>
          <t>Upfront Fee (€m)</t>
        </is>
      </c>
    </row>
    <row r="25">
      <c r="D25" s="113" t="inlineStr">
        <is>
          <t>1A. Senior Term Loan A (TLA — 7y Amortising Bank Debt)</t>
        </is>
      </c>
      <c r="E25" s="37">
        <f>+F25</f>
        <v/>
      </c>
      <c r="F25" s="38">
        <f>'Debt &amp; Covenants'!F8*$F$7</f>
        <v/>
      </c>
      <c r="G25" s="134">
        <f>'Debt &amp; Covenants'!F8</f>
        <v/>
      </c>
      <c r="H25" s="40" t="n">
        <v>0.0125</v>
      </c>
      <c r="I25" s="37">
        <f>+E25*H25</f>
        <v/>
      </c>
    </row>
    <row r="26">
      <c r="D26" s="113" t="inlineStr">
        <is>
          <t>1B. Senior Term Loan B (TLB — 7y Institutional Bullet)</t>
        </is>
      </c>
      <c r="E26" s="37">
        <f>+F26</f>
        <v/>
      </c>
      <c r="F26" s="38">
        <f>'Debt &amp; Covenants'!F9*$F$7</f>
        <v/>
      </c>
      <c r="G26" s="134">
        <f>'Debt &amp; Covenants'!F9</f>
        <v/>
      </c>
      <c r="H26" s="40" t="n">
        <v>0.0175</v>
      </c>
      <c r="I26" s="37">
        <f>+E26*H26</f>
        <v/>
      </c>
    </row>
    <row r="27">
      <c r="D27" s="113" t="inlineStr">
        <is>
          <t>2. Subordinated / Mezzanine Debt (7.5y Bullet)</t>
        </is>
      </c>
      <c r="E27" s="37">
        <f>+F27</f>
        <v/>
      </c>
      <c r="F27" s="38">
        <f>'Debt &amp; Covenants'!F10*$F$7</f>
        <v/>
      </c>
      <c r="G27" s="134">
        <f>'Debt &amp; Covenants'!F10</f>
        <v/>
      </c>
      <c r="H27" s="40" t="n">
        <v>0.0225</v>
      </c>
      <c r="I27" s="37">
        <f>+E27*H27</f>
        <v/>
      </c>
    </row>
    <row r="28">
      <c r="D28" s="113" t="inlineStr">
        <is>
          <t>3. Seller Vendor Loan (Sandra Ortega Deferred Note)</t>
        </is>
      </c>
      <c r="E28" s="37">
        <f>+F28</f>
        <v/>
      </c>
      <c r="F28" s="38">
        <f>'Debt &amp; Covenants'!F11*$F$7</f>
        <v/>
      </c>
      <c r="G28" s="134">
        <f>'Debt &amp; Covenants'!F11</f>
        <v/>
      </c>
      <c r="H28" s="40" t="n">
        <v>0</v>
      </c>
      <c r="I28" s="37">
        <f>+E28*H28</f>
        <v/>
      </c>
    </row>
    <row r="29">
      <c r="D29" s="113" t="inlineStr">
        <is>
          <t>4. Revolving Credit Facility (RCF — Negative NOF Line)</t>
        </is>
      </c>
      <c r="E29" s="37">
        <f>'Debt &amp; Covenants'!E14</f>
        <v/>
      </c>
      <c r="F29" s="41" t="n">
        <v>0</v>
      </c>
      <c r="G29" s="134">
        <f>+E29/$F$7</f>
        <v/>
      </c>
      <c r="H29" s="40" t="n">
        <v>0.01</v>
      </c>
      <c r="I29" s="37">
        <f>+E29*H29</f>
        <v/>
      </c>
    </row>
    <row r="30">
      <c r="D30" s="42" t="inlineStr">
        <is>
          <t>Total LBO Debt Package &amp; Upfront Structuring Fees</t>
        </is>
      </c>
      <c r="E30" s="43">
        <f>+SUM(E25:E29)</f>
        <v/>
      </c>
      <c r="F30" s="43">
        <f>+SUM(F25:F29)</f>
        <v/>
      </c>
      <c r="G30" s="135">
        <f>+SUM(G25:G28)</f>
        <v/>
      </c>
      <c r="H30" s="45">
        <f>+I30/E30</f>
        <v/>
      </c>
      <c r="I30" s="43">
        <f>+SUM(I25:I29)</f>
        <v/>
      </c>
    </row>
    <row r="32">
      <c r="D32" s="14" t="inlineStr">
        <is>
          <t>Sources of Funds (100% Take-Private)</t>
        </is>
      </c>
      <c r="E32" s="15" t="inlineStr">
        <is>
          <t>€m</t>
        </is>
      </c>
      <c r="F32" s="15" t="inlineStr">
        <is>
          <t>%</t>
        </is>
      </c>
      <c r="G32" s="15" t="inlineStr">
        <is>
          <t>xEBITDA</t>
        </is>
      </c>
      <c r="H32" s="14" t="inlineStr">
        <is>
          <t>Uses of Funds (100% Take-Private)</t>
        </is>
      </c>
      <c r="I32" s="14" t="n"/>
      <c r="J32" s="15" t="inlineStr">
        <is>
          <t>€m</t>
        </is>
      </c>
      <c r="K32" s="15" t="inlineStr">
        <is>
          <t>%</t>
        </is>
      </c>
      <c r="L32" s="15" t="inlineStr">
        <is>
          <t>xEBITDA</t>
        </is>
      </c>
    </row>
    <row r="33">
      <c r="D33" s="113" t="inlineStr">
        <is>
          <t>1A. Senior Term Loan A (TLA)</t>
        </is>
      </c>
      <c r="E33" s="37">
        <f>+F25</f>
        <v/>
      </c>
      <c r="F33" s="136">
        <f>+E33/$E$40</f>
        <v/>
      </c>
      <c r="G33" s="134">
        <f>+E33/$F$7</f>
        <v/>
      </c>
      <c r="H33" s="115" t="inlineStr">
        <is>
          <t>Cash OPA for Free Float + Partial Family Cash-Out (75.0%)</t>
        </is>
      </c>
      <c r="J33" s="38">
        <f>+F17</f>
        <v/>
      </c>
      <c r="K33" s="137">
        <f>+J33/$J$40</f>
        <v/>
      </c>
      <c r="L33" s="138">
        <f>+J33/$F$7</f>
        <v/>
      </c>
    </row>
    <row r="34">
      <c r="D34" s="113" t="inlineStr">
        <is>
          <t>1B. Senior Term Loan B (TLB)</t>
        </is>
      </c>
      <c r="E34" s="37">
        <f>+F26</f>
        <v/>
      </c>
      <c r="F34" s="136">
        <f>+E34/$E$40</f>
        <v/>
      </c>
      <c r="G34" s="134">
        <f>+E34/$F$7</f>
        <v/>
      </c>
      <c r="H34" s="115" t="inlineStr">
        <is>
          <t>Amancio Ortega Rollover Shares Contributed (25.0%)</t>
        </is>
      </c>
      <c r="J34" s="38">
        <f>+F16</f>
        <v/>
      </c>
      <c r="K34" s="137">
        <f>+J34/$J$40</f>
        <v/>
      </c>
      <c r="L34" s="138">
        <f>+J34/$F$7</f>
        <v/>
      </c>
    </row>
    <row r="35">
      <c r="D35" s="113" t="inlineStr">
        <is>
          <t>2. Subordinated / Mezzanine Debt</t>
        </is>
      </c>
      <c r="E35" s="37">
        <f>+F27</f>
        <v/>
      </c>
      <c r="F35" s="136">
        <f>+E35/$E$40</f>
        <v/>
      </c>
      <c r="G35" s="134">
        <f>+E35/$F$7</f>
        <v/>
      </c>
      <c r="H35" s="113" t="inlineStr">
        <is>
          <t>Upfront Debt Structuring Fees (TLA/TLB/Sub/RCF)</t>
        </is>
      </c>
      <c r="J35" s="37">
        <f>+I30</f>
        <v/>
      </c>
      <c r="K35" s="136">
        <f>+J35/$J$40</f>
        <v/>
      </c>
      <c r="L35" s="134">
        <f>+J35/$F$7</f>
        <v/>
      </c>
    </row>
    <row r="36">
      <c r="D36" s="113" t="inlineStr">
        <is>
          <t>3. Seller Vendor Loan (Sandra Deferred Note)</t>
        </is>
      </c>
      <c r="E36" s="37">
        <f>+F28</f>
        <v/>
      </c>
      <c r="F36" s="136">
        <f>+E36/$E$40</f>
        <v/>
      </c>
      <c r="G36" s="134">
        <f>+E36/$F$7</f>
        <v/>
      </c>
      <c r="H36" s="113" t="inlineStr">
        <is>
          <t>M&amp;A, Legal &amp; OPA Advisory Costs (% Cash Takeover)</t>
        </is>
      </c>
      <c r="J36" s="37">
        <f>+F17*L12</f>
        <v/>
      </c>
      <c r="K36" s="136">
        <f>+J36/$J$40</f>
        <v/>
      </c>
      <c r="L36" s="134">
        <f>+J36/$F$7</f>
        <v/>
      </c>
    </row>
    <row r="37">
      <c r="D37" s="113" t="inlineStr">
        <is>
          <t>100% Inditex Excess BS Cash Deployed at Close</t>
        </is>
      </c>
      <c r="E37" s="37">
        <f>+F20</f>
        <v/>
      </c>
      <c r="F37" s="136">
        <f>+E37/$E$40</f>
        <v/>
      </c>
      <c r="G37" s="134">
        <f>+E37/$F$7</f>
        <v/>
      </c>
      <c r="H37" s="113" t="inlineStr">
        <is>
          <t>Minimum Operational Cash Retained on BS (€1,000m)</t>
        </is>
      </c>
      <c r="J37" s="41" t="n">
        <v>0</v>
      </c>
      <c r="K37" s="136">
        <f>+J37/$J$40</f>
        <v/>
      </c>
      <c r="L37" s="134">
        <f>+J37/$F$7</f>
        <v/>
      </c>
    </row>
    <row r="38">
      <c r="D38" s="115" t="inlineStr">
        <is>
          <t>Amancio Ortega Equity Rollover into TopCo</t>
        </is>
      </c>
      <c r="E38" s="38">
        <f>+F16</f>
        <v/>
      </c>
      <c r="F38" s="137">
        <f>+E38/$E$40</f>
        <v/>
      </c>
      <c r="G38" s="138">
        <f>+E38/$F$7</f>
        <v/>
      </c>
    </row>
    <row r="39">
      <c r="D39" s="115" t="inlineStr">
        <is>
          <t>Sponsor Cash Equity Ticket (Plug)</t>
        </is>
      </c>
      <c r="E39" s="38">
        <f>+E40-SUM(E33:E38)</f>
        <v/>
      </c>
      <c r="F39" s="137">
        <f>+E39/$E$40</f>
        <v/>
      </c>
      <c r="G39" s="138">
        <f>+E39/$F$7</f>
        <v/>
      </c>
    </row>
    <row r="40">
      <c r="D40" s="42" t="inlineStr">
        <is>
          <t>Total Sources of Funds</t>
        </is>
      </c>
      <c r="E40" s="43">
        <f>+J40</f>
        <v/>
      </c>
      <c r="F40" s="139">
        <f>+SUM(F33:F39)</f>
        <v/>
      </c>
      <c r="G40" s="135">
        <f>+SUM(G33:G39)</f>
        <v/>
      </c>
      <c r="H40" s="42" t="inlineStr">
        <is>
          <t>Total Uses of Funds</t>
        </is>
      </c>
      <c r="I40" s="42" t="n"/>
      <c r="J40" s="43">
        <f>+SUM(J33:J37)</f>
        <v/>
      </c>
      <c r="K40" s="139">
        <f>+SUM(K33:K37)</f>
        <v/>
      </c>
      <c r="L40" s="135">
        <f>+SUM(L33:L37)</f>
        <v/>
      </c>
    </row>
    <row r="42">
      <c r="D42" s="14" t="inlineStr">
        <is>
          <t>TopCo Common Equity Ownership (100% Owner of BidCo / Inditex)</t>
        </is>
      </c>
      <c r="E42" s="15" t="inlineStr">
        <is>
          <t>Equity (€m)</t>
        </is>
      </c>
      <c r="F42" s="15" t="inlineStr">
        <is>
          <t>% TopCo</t>
        </is>
      </c>
      <c r="G42" s="15" t="inlineStr">
        <is>
          <t>xEBITDA</t>
        </is>
      </c>
      <c r="H42" s="140" t="inlineStr">
        <is>
          <t>GP / LP Equity Waterfall &amp; Promote Inputs</t>
        </is>
      </c>
      <c r="I42" s="141" t="n"/>
      <c r="J42" s="142" t="inlineStr">
        <is>
          <t>Ticket (€m)</t>
        </is>
      </c>
      <c r="K42" s="142" t="inlineStr">
        <is>
          <t>% TopCo</t>
        </is>
      </c>
      <c r="L42" s="142" t="inlineStr">
        <is>
          <t>Input / %</t>
        </is>
      </c>
    </row>
    <row r="43">
      <c r="D43" s="113" t="inlineStr">
        <is>
          <t>Amancio Ortega (Pontegadea Rollover Equity in TopCo)</t>
        </is>
      </c>
      <c r="E43" s="1">
        <f>+E38</f>
        <v/>
      </c>
      <c r="F43" s="50">
        <f>+E43/$E$45</f>
        <v/>
      </c>
      <c r="G43" s="143">
        <f>+E43/$F$7</f>
        <v/>
      </c>
      <c r="H43" s="113" t="inlineStr">
        <is>
          <t>Passive LP Co-Investors (SWFs / Pensions)</t>
        </is>
      </c>
      <c r="J43" s="144">
        <f>+E44*L43</f>
        <v/>
      </c>
      <c r="K43" s="111">
        <f>+J43/$E$45</f>
        <v/>
      </c>
      <c r="L43" s="145" t="n">
        <v>0.85</v>
      </c>
    </row>
    <row r="44">
      <c r="D44" s="115" t="inlineStr">
        <is>
          <t>Sponsor PE Consortium (Cash Equity Ticket in TopCo)</t>
        </is>
      </c>
      <c r="E44" s="38">
        <f>+E39</f>
        <v/>
      </c>
      <c r="F44" s="50">
        <f>+E44/$E$45</f>
        <v/>
      </c>
      <c r="G44" s="138">
        <f>+E44/$F$7</f>
        <v/>
      </c>
      <c r="H44" s="115" t="inlineStr">
        <is>
          <t>Lead GP Sponsor Co-Investment Ticket</t>
        </is>
      </c>
      <c r="J44" s="146">
        <f>+E44*L44</f>
        <v/>
      </c>
      <c r="K44" s="50">
        <f>+J44/$E$45</f>
        <v/>
      </c>
      <c r="L44" s="147">
        <f>+1-L43</f>
        <v/>
      </c>
    </row>
    <row r="45">
      <c r="D45" s="42" t="inlineStr">
        <is>
          <t>Total TopCo Common Equity (100% Inditex Ownership)</t>
        </is>
      </c>
      <c r="E45" s="43">
        <f>+E43+E44</f>
        <v/>
      </c>
      <c r="F45" s="45">
        <f>+F43+F44</f>
        <v/>
      </c>
      <c r="G45" s="135">
        <f>+G43+G44</f>
        <v/>
      </c>
      <c r="H45" s="115" t="inlineStr">
        <is>
          <t>LP Compound Hurdle Rate (L45) &amp; Catch-Up (J45)</t>
        </is>
      </c>
      <c r="J45" s="145" t="n">
        <v>1</v>
      </c>
      <c r="K45" s="148" t="inlineStr">
        <is>
          <t>Hurdle -&gt;</t>
        </is>
      </c>
      <c r="L45" s="145" t="n">
        <v>0.08</v>
      </c>
    </row>
    <row r="46">
      <c r="H46" s="149" t="inlineStr">
        <is>
          <t>GP Carried Interest / Promote (% above Hurdle)</t>
        </is>
      </c>
      <c r="I46" s="150" t="n"/>
      <c r="J46" s="151">
        <f>+J43+J44</f>
        <v/>
      </c>
      <c r="K46" s="152" t="inlineStr">
        <is>
          <t>Carry -&gt;</t>
        </is>
      </c>
      <c r="L46" s="145" t="n">
        <v>0.2</v>
      </c>
    </row>
    <row r="47" ht="16.05" customHeight="1" s="114">
      <c r="A47" s="12" t="inlineStr">
        <is>
          <t>&gt;</t>
        </is>
      </c>
      <c r="B47" s="12" t="inlineStr">
        <is>
          <t>&gt;</t>
        </is>
      </c>
      <c r="C47" s="13" t="inlineStr">
        <is>
          <t>3. Multi-Year Exit Valuation (100% Inditex), Exit Fees &amp; Sponsor Returns Matrix (2026E–2032E)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</row>
    <row r="48">
      <c r="D48" s="14" t="inlineStr">
        <is>
          <t>Exit Valuation &amp; Proceeds Breakdown (€m)</t>
        </is>
      </c>
      <c r="E48" s="153" t="n">
        <v>2025</v>
      </c>
      <c r="F48" s="154">
        <f>+E48+1</f>
        <v/>
      </c>
      <c r="G48" s="154">
        <f>+F48+1</f>
        <v/>
      </c>
      <c r="H48" s="154">
        <f>+G48+1</f>
        <v/>
      </c>
      <c r="I48" s="154">
        <f>+H48+1</f>
        <v/>
      </c>
      <c r="J48" s="154">
        <f>+I48+1</f>
        <v/>
      </c>
      <c r="K48" s="154">
        <f>+J48+1</f>
        <v/>
      </c>
      <c r="L48" s="154">
        <f>+K48+1</f>
        <v/>
      </c>
    </row>
    <row r="49">
      <c r="B49" s="9" t="n">
        <v>3</v>
      </c>
      <c r="D49" s="113" t="inlineStr">
        <is>
          <t>100% Inditex Pre-IFRS 16 Cash EBITDA (€m)</t>
        </is>
      </c>
      <c r="E49" s="1">
        <f>'Active Case'!L30</f>
        <v/>
      </c>
      <c r="F49" s="1">
        <f>'Active Case'!M30</f>
        <v/>
      </c>
      <c r="G49" s="1">
        <f>'Active Case'!N30</f>
        <v/>
      </c>
      <c r="H49" s="1">
        <f>'Active Case'!O30</f>
        <v/>
      </c>
      <c r="I49" s="1">
        <f>'Active Case'!P30</f>
        <v/>
      </c>
      <c r="J49" s="1">
        <f>'Active Case'!Q30</f>
        <v/>
      </c>
      <c r="K49" s="1">
        <f>'Active Case'!R30</f>
        <v/>
      </c>
      <c r="L49" s="1">
        <f>'Active Case'!S30</f>
        <v/>
      </c>
    </row>
    <row r="50">
      <c r="D50" s="113" t="inlineStr">
        <is>
          <t>Exit Multiple (Pre-IFRS 16 EBITDAx)</t>
        </is>
      </c>
      <c r="E50" s="143">
        <f>+$L$11</f>
        <v/>
      </c>
      <c r="F50" s="143">
        <f>+$L$11</f>
        <v/>
      </c>
      <c r="G50" s="143">
        <f>+$L$11</f>
        <v/>
      </c>
      <c r="H50" s="143">
        <f>+$L$11</f>
        <v/>
      </c>
      <c r="I50" s="143">
        <f>+$L$11</f>
        <v/>
      </c>
      <c r="J50" s="143">
        <f>+$L$11</f>
        <v/>
      </c>
      <c r="K50" s="143">
        <f>+$L$11</f>
        <v/>
      </c>
      <c r="L50" s="143">
        <f>+$L$11</f>
        <v/>
      </c>
    </row>
    <row r="51">
      <c r="D51" s="54" t="inlineStr">
        <is>
          <t>Gross Enterprise Value at Exit (100% Inditex EV)</t>
        </is>
      </c>
      <c r="E51" s="55">
        <f>+E49*E50</f>
        <v/>
      </c>
      <c r="F51" s="55">
        <f>+F49*F50</f>
        <v/>
      </c>
      <c r="G51" s="55">
        <f>+G49*G50</f>
        <v/>
      </c>
      <c r="H51" s="55">
        <f>+H49*H50</f>
        <v/>
      </c>
      <c r="I51" s="55">
        <f>+I49*I50</f>
        <v/>
      </c>
      <c r="J51" s="55">
        <f>+J49*J50</f>
        <v/>
      </c>
      <c r="K51" s="55">
        <f>+K49*K50</f>
        <v/>
      </c>
      <c r="L51" s="55">
        <f>+L49*L50</f>
        <v/>
      </c>
    </row>
    <row r="52">
      <c r="D52" s="113" t="inlineStr">
        <is>
          <t>Less: Exit Transaction / Re-IPO Fees (% in L13)</t>
        </is>
      </c>
      <c r="E52" s="1">
        <f>-E51*$L$13</f>
        <v/>
      </c>
      <c r="F52" s="1">
        <f>-F51*$L$13</f>
        <v/>
      </c>
      <c r="G52" s="1">
        <f>-G51*$L$13</f>
        <v/>
      </c>
      <c r="H52" s="1">
        <f>-H51*$L$13</f>
        <v/>
      </c>
      <c r="I52" s="1">
        <f>-I51*$L$13</f>
        <v/>
      </c>
      <c r="J52" s="1">
        <f>-J51*$L$13</f>
        <v/>
      </c>
      <c r="K52" s="1">
        <f>-K51*$L$13</f>
        <v/>
      </c>
      <c r="L52" s="1">
        <f>-L51*$L$13</f>
        <v/>
      </c>
    </row>
    <row r="53">
      <c r="D53" s="113" t="inlineStr">
        <is>
          <t>Less: EoP Gross LBO Debt (TLA + TLB + Sub + Vendor Loan + RCF)</t>
        </is>
      </c>
      <c r="E53" s="1">
        <f>-'Debt &amp; Covenants'!E68</f>
        <v/>
      </c>
      <c r="F53" s="1">
        <f>-'Debt &amp; Covenants'!F68</f>
        <v/>
      </c>
      <c r="G53" s="1">
        <f>-'Debt &amp; Covenants'!G68</f>
        <v/>
      </c>
      <c r="H53" s="1">
        <f>-'Debt &amp; Covenants'!H68</f>
        <v/>
      </c>
      <c r="I53" s="1">
        <f>-'Debt &amp; Covenants'!I68</f>
        <v/>
      </c>
      <c r="J53" s="1">
        <f>-'Debt &amp; Covenants'!J68</f>
        <v/>
      </c>
      <c r="K53" s="1">
        <f>-'Debt &amp; Covenants'!K68</f>
        <v/>
      </c>
      <c r="L53" s="1">
        <f>-'Debt &amp; Covenants'!L68</f>
        <v/>
      </c>
    </row>
    <row r="54">
      <c r="D54" s="113" t="inlineStr">
        <is>
          <t>Plus: EoP 100% Inditex Cash Balance (incl. €1,000m Min Cash)</t>
        </is>
      </c>
      <c r="E54" s="1">
        <f>+'Debt &amp; Covenants'!E93</f>
        <v/>
      </c>
      <c r="F54" s="1">
        <f>+'Debt &amp; Covenants'!F93</f>
        <v/>
      </c>
      <c r="G54" s="1">
        <f>+'Debt &amp; Covenants'!G93</f>
        <v/>
      </c>
      <c r="H54" s="1">
        <f>+'Debt &amp; Covenants'!H93</f>
        <v/>
      </c>
      <c r="I54" s="1">
        <f>+'Debt &amp; Covenants'!I93</f>
        <v/>
      </c>
      <c r="J54" s="1">
        <f>+'Debt &amp; Covenants'!J93</f>
        <v/>
      </c>
      <c r="K54" s="1">
        <f>+'Debt &amp; Covenants'!K93</f>
        <v/>
      </c>
      <c r="L54" s="1">
        <f>+'Debt &amp; Covenants'!L93</f>
        <v/>
      </c>
    </row>
    <row r="55">
      <c r="D55" s="42" t="inlineStr">
        <is>
          <t>Total TopCo Net Equity Value at Exit (100% Inditex)</t>
        </is>
      </c>
      <c r="E55" s="43">
        <f>+SUM(E51:E54)</f>
        <v/>
      </c>
      <c r="F55" s="43">
        <f>+SUM(F51:F54)</f>
        <v/>
      </c>
      <c r="G55" s="43">
        <f>+SUM(G51:G54)</f>
        <v/>
      </c>
      <c r="H55" s="43">
        <f>+SUM(H51:H54)</f>
        <v/>
      </c>
      <c r="I55" s="43">
        <f>+SUM(I51:I54)</f>
        <v/>
      </c>
      <c r="J55" s="43">
        <f>+SUM(J51:J54)</f>
        <v/>
      </c>
      <c r="K55" s="43">
        <f>+SUM(K51:K54)</f>
        <v/>
      </c>
      <c r="L55" s="43">
        <f>+SUM(L51:L54)</f>
        <v/>
      </c>
    </row>
    <row r="56">
      <c r="D56" s="115" t="inlineStr">
        <is>
          <t>Sponsor PE Exit Equity Proceeds (% TopCo in F44)</t>
        </is>
      </c>
      <c r="E56" s="38">
        <f>+E55*$F$44</f>
        <v/>
      </c>
      <c r="F56" s="38">
        <f>+F55*$F$44</f>
        <v/>
      </c>
      <c r="G56" s="38">
        <f>+G55*$F$44</f>
        <v/>
      </c>
      <c r="H56" s="38">
        <f>+H55*$F$44</f>
        <v/>
      </c>
      <c r="I56" s="38">
        <f>+I55*$F$44</f>
        <v/>
      </c>
      <c r="J56" s="38">
        <f>+J55*$F$44</f>
        <v/>
      </c>
      <c r="K56" s="38">
        <f>+K55*$F$44</f>
        <v/>
      </c>
      <c r="L56" s="38">
        <f>+L55*$F$44</f>
        <v/>
      </c>
    </row>
    <row r="57">
      <c r="D57" s="113" t="inlineStr">
        <is>
          <t>Amancio Ortega Rollover Exit Equity Proceeds (% TopCo in F43)</t>
        </is>
      </c>
      <c r="E57" s="1">
        <f>+E55*$F$43</f>
        <v/>
      </c>
      <c r="F57" s="1">
        <f>+F55*$F$43</f>
        <v/>
      </c>
      <c r="G57" s="1">
        <f>+G55*$F$43</f>
        <v/>
      </c>
      <c r="H57" s="1">
        <f>+H55*$F$43</f>
        <v/>
      </c>
      <c r="I57" s="1">
        <f>+I55*$F$43</f>
        <v/>
      </c>
      <c r="J57" s="1">
        <f>+J55*$F$43</f>
        <v/>
      </c>
      <c r="K57" s="1">
        <f>+K55*$F$43</f>
        <v/>
      </c>
      <c r="L57" s="1">
        <f>+L55*$F$43</f>
        <v/>
      </c>
    </row>
    <row r="58">
      <c r="D58" s="115" t="inlineStr">
        <is>
          <t>Implied Sponsor IRR if Exited in Year (%)</t>
        </is>
      </c>
      <c r="F58" s="137">
        <f>+M62</f>
        <v/>
      </c>
      <c r="G58" s="137">
        <f>+M63</f>
        <v/>
      </c>
      <c r="H58" s="137">
        <f>+M64</f>
        <v/>
      </c>
      <c r="I58" s="137">
        <f>+M65</f>
        <v/>
      </c>
      <c r="J58" s="137">
        <f>+M66</f>
        <v/>
      </c>
      <c r="K58" s="137">
        <f>+M67</f>
        <v/>
      </c>
      <c r="L58" s="137">
        <f>+M68</f>
        <v/>
      </c>
    </row>
    <row r="59">
      <c r="D59" s="115" t="inlineStr">
        <is>
          <t>Implied Sponsor MOIC (Cash-on-Cash) if Exited in Year (x)</t>
        </is>
      </c>
      <c r="F59" s="138">
        <f>+N62</f>
        <v/>
      </c>
      <c r="G59" s="138">
        <f>+N63</f>
        <v/>
      </c>
      <c r="H59" s="138">
        <f>+N64</f>
        <v/>
      </c>
      <c r="I59" s="138">
        <f>+N65</f>
        <v/>
      </c>
      <c r="J59" s="138">
        <f>+N66</f>
        <v/>
      </c>
      <c r="K59" s="138">
        <f>+N67</f>
        <v/>
      </c>
      <c r="L59" s="138">
        <f>+N68</f>
        <v/>
      </c>
    </row>
    <row r="61">
      <c r="D61" s="14" t="inlineStr">
        <is>
          <t>Sponsor Cash Flow Schedule by Exit Year (2026E–2032E)</t>
        </is>
      </c>
      <c r="E61" s="153">
        <f>+E48</f>
        <v/>
      </c>
      <c r="F61" s="154">
        <f>+F48</f>
        <v/>
      </c>
      <c r="G61" s="154">
        <f>+G48</f>
        <v/>
      </c>
      <c r="H61" s="154">
        <f>+H48</f>
        <v/>
      </c>
      <c r="I61" s="154">
        <f>+I48</f>
        <v/>
      </c>
      <c r="J61" s="154">
        <f>+J48</f>
        <v/>
      </c>
      <c r="K61" s="154">
        <f>+K48</f>
        <v/>
      </c>
      <c r="L61" s="154">
        <f>+L48</f>
        <v/>
      </c>
      <c r="M61" s="15" t="inlineStr">
        <is>
          <t>Sponsor IRR</t>
        </is>
      </c>
      <c r="N61" s="15" t="inlineStr">
        <is>
          <t>Sponsor MOIC</t>
        </is>
      </c>
    </row>
    <row r="62">
      <c r="D62" s="155">
        <f>+F61</f>
        <v/>
      </c>
      <c r="E62" s="37">
        <f>-$E$44</f>
        <v/>
      </c>
      <c r="F62" s="37">
        <f>+F$56</f>
        <v/>
      </c>
      <c r="G62" s="37" t="n">
        <v>0</v>
      </c>
      <c r="H62" s="37" t="n">
        <v>0</v>
      </c>
      <c r="I62" s="37" t="n">
        <v>0</v>
      </c>
      <c r="J62" s="37" t="n">
        <v>0</v>
      </c>
      <c r="K62" s="37" t="n">
        <v>0</v>
      </c>
      <c r="L62" s="37" t="n">
        <v>0</v>
      </c>
      <c r="M62" s="137">
        <f>+IFERROR((N62)^(1/(F$61-$E$61))-1,0)</f>
        <v/>
      </c>
      <c r="N62" s="138">
        <f>+IFERROR(-SUM(F62:F62)/E62,0)</f>
        <v/>
      </c>
    </row>
    <row r="63">
      <c r="D63" s="155">
        <f>+G61</f>
        <v/>
      </c>
      <c r="E63" s="37">
        <f>-$E$44</f>
        <v/>
      </c>
      <c r="F63" s="37" t="n">
        <v>0</v>
      </c>
      <c r="G63" s="37">
        <f>+G$56</f>
        <v/>
      </c>
      <c r="H63" s="37" t="n">
        <v>0</v>
      </c>
      <c r="I63" s="37" t="n">
        <v>0</v>
      </c>
      <c r="J63" s="37" t="n">
        <v>0</v>
      </c>
      <c r="K63" s="37" t="n">
        <v>0</v>
      </c>
      <c r="L63" s="37" t="n">
        <v>0</v>
      </c>
      <c r="M63" s="137">
        <f>+IFERROR((N63)^(1/(G$61-$E$61))-1,0)</f>
        <v/>
      </c>
      <c r="N63" s="138">
        <f>+IFERROR(-SUM(F63:G63)/E63,0)</f>
        <v/>
      </c>
    </row>
    <row r="64">
      <c r="D64" s="155">
        <f>+H61</f>
        <v/>
      </c>
      <c r="E64" s="37">
        <f>-$E$44</f>
        <v/>
      </c>
      <c r="F64" s="37" t="n">
        <v>0</v>
      </c>
      <c r="G64" s="37" t="n">
        <v>0</v>
      </c>
      <c r="H64" s="37">
        <f>+H$56</f>
        <v/>
      </c>
      <c r="I64" s="37" t="n">
        <v>0</v>
      </c>
      <c r="J64" s="37" t="n">
        <v>0</v>
      </c>
      <c r="K64" s="37" t="n">
        <v>0</v>
      </c>
      <c r="L64" s="37" t="n">
        <v>0</v>
      </c>
      <c r="M64" s="137">
        <f>+IFERROR((N64)^(1/(H$61-$E$61))-1,0)</f>
        <v/>
      </c>
      <c r="N64" s="138">
        <f>+IFERROR(-SUM(F64:H64)/E64,0)</f>
        <v/>
      </c>
    </row>
    <row r="65">
      <c r="D65" s="155">
        <f>+I61</f>
        <v/>
      </c>
      <c r="E65" s="37">
        <f>-$E$44</f>
        <v/>
      </c>
      <c r="F65" s="37" t="n">
        <v>0</v>
      </c>
      <c r="G65" s="37" t="n">
        <v>0</v>
      </c>
      <c r="H65" s="37" t="n">
        <v>0</v>
      </c>
      <c r="I65" s="37">
        <f>+I$56</f>
        <v/>
      </c>
      <c r="J65" s="37" t="n">
        <v>0</v>
      </c>
      <c r="K65" s="37" t="n">
        <v>0</v>
      </c>
      <c r="L65" s="37" t="n">
        <v>0</v>
      </c>
      <c r="M65" s="137">
        <f>+IFERROR((N65)^(1/(I$61-$E$61))-1,0)</f>
        <v/>
      </c>
      <c r="N65" s="138">
        <f>+IFERROR(-SUM(F65:I65)/E65,0)</f>
        <v/>
      </c>
    </row>
    <row r="66">
      <c r="D66" s="155">
        <f>+J61</f>
        <v/>
      </c>
      <c r="E66" s="37">
        <f>-$E$44</f>
        <v/>
      </c>
      <c r="F66" s="37" t="n">
        <v>0</v>
      </c>
      <c r="G66" s="37" t="n">
        <v>0</v>
      </c>
      <c r="H66" s="37" t="n">
        <v>0</v>
      </c>
      <c r="I66" s="37" t="n">
        <v>0</v>
      </c>
      <c r="J66" s="37">
        <f>+J$56</f>
        <v/>
      </c>
      <c r="K66" s="37" t="n">
        <v>0</v>
      </c>
      <c r="L66" s="37" t="n">
        <v>0</v>
      </c>
      <c r="M66" s="137">
        <f>+IFERROR((N66)^(1/(J$61-$E$61))-1,0)</f>
        <v/>
      </c>
      <c r="N66" s="138">
        <f>+IFERROR(-SUM(F66:J66)/E66,0)</f>
        <v/>
      </c>
    </row>
    <row r="67">
      <c r="D67" s="155">
        <f>+K61</f>
        <v/>
      </c>
      <c r="E67" s="37">
        <f>-$E$44</f>
        <v/>
      </c>
      <c r="F67" s="37" t="n">
        <v>0</v>
      </c>
      <c r="G67" s="37" t="n">
        <v>0</v>
      </c>
      <c r="H67" s="37" t="n">
        <v>0</v>
      </c>
      <c r="I67" s="37" t="n">
        <v>0</v>
      </c>
      <c r="J67" s="37" t="n">
        <v>0</v>
      </c>
      <c r="K67" s="37">
        <f>+K$56</f>
        <v/>
      </c>
      <c r="L67" s="37" t="n">
        <v>0</v>
      </c>
      <c r="M67" s="137">
        <f>+IFERROR((N67)^(1/(K$61-$E$61))-1,0)</f>
        <v/>
      </c>
      <c r="N67" s="138">
        <f>+IFERROR(-SUM(F67:K67)/E67,0)</f>
        <v/>
      </c>
    </row>
    <row r="68">
      <c r="D68" s="155">
        <f>+L61</f>
        <v/>
      </c>
      <c r="E68" s="37">
        <f>-$E$44</f>
        <v/>
      </c>
      <c r="F68" s="37" t="n">
        <v>0</v>
      </c>
      <c r="G68" s="37" t="n">
        <v>0</v>
      </c>
      <c r="H68" s="37" t="n">
        <v>0</v>
      </c>
      <c r="I68" s="37" t="n">
        <v>0</v>
      </c>
      <c r="J68" s="37" t="n">
        <v>0</v>
      </c>
      <c r="K68" s="37" t="n">
        <v>0</v>
      </c>
      <c r="L68" s="37">
        <f>+L$56</f>
        <v/>
      </c>
      <c r="M68" s="137">
        <f>+IFERROR((N68)^(1/(L$61-$E$61))-1,0)</f>
        <v/>
      </c>
      <c r="N68" s="138">
        <f>+IFERROR(-SUM(F68:L68)/E68,0)</f>
        <v/>
      </c>
    </row>
    <row r="69">
      <c r="D69" s="57">
        <f>"Active Selected Exit Cash Flows @ "&amp;L10&amp;"E"</f>
        <v/>
      </c>
      <c r="E69" s="58">
        <f>+INDEX(E62:E68,MATCH($L$10,$D$62:$D$68,0))</f>
        <v/>
      </c>
      <c r="F69" s="58">
        <f>+INDEX(F62:F68,MATCH($L$10,$D$62:$D$68,0))</f>
        <v/>
      </c>
      <c r="G69" s="58">
        <f>+INDEX(G62:G68,MATCH($L$10,$D$62:$D$68,0))</f>
        <v/>
      </c>
      <c r="H69" s="58">
        <f>+INDEX(H62:H68,MATCH($L$10,$D$62:$D$68,0))</f>
        <v/>
      </c>
      <c r="I69" s="58">
        <f>+INDEX(I62:I68,MATCH($L$10,$D$62:$D$68,0))</f>
        <v/>
      </c>
      <c r="J69" s="58">
        <f>+INDEX(J62:J68,MATCH($L$10,$D$62:$D$68,0))</f>
        <v/>
      </c>
      <c r="K69" s="58">
        <f>+INDEX(K62:K68,MATCH($L$10,$D$62:$D$68,0))</f>
        <v/>
      </c>
      <c r="L69" s="58">
        <f>+INDEX(L62:L68,MATCH($L$10,$D$62:$D$68,0))</f>
        <v/>
      </c>
      <c r="M69" s="156">
        <f>+INDEX(M62:M68,MATCH($L$10,$D$62:$D$68,0))</f>
        <v/>
      </c>
      <c r="N69" s="157">
        <f>+INDEX(N62:N68,MATCH($L$10,$D$62:$D$68,0))</f>
        <v/>
      </c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</row>
    <row r="71" ht="16" customHeight="1" s="114">
      <c r="A71" s="159" t="inlineStr">
        <is>
          <t>&gt;</t>
        </is>
      </c>
      <c r="B71" s="159" t="inlineStr">
        <is>
          <t>&gt;</t>
        </is>
      </c>
      <c r="C71" s="160" t="inlineStr">
        <is>
          <t>4. GP / LP Co-Investment Equity Waterfall (8% Compound Hurdle &amp; 20% Carried Interest, 2026E–2032E)</t>
        </is>
      </c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58" t="n"/>
    </row>
    <row r="72">
      <c r="A72" s="158" t="n"/>
      <c r="B72" s="158" t="n"/>
      <c r="C72" s="158" t="n"/>
      <c r="D72" s="140" t="inlineStr">
        <is>
          <t>European Deal-by-Deal Waterfall Breakdown (€m)</t>
        </is>
      </c>
      <c r="E72" s="161">
        <f>+E48</f>
        <v/>
      </c>
      <c r="F72" s="162">
        <f>+F48</f>
        <v/>
      </c>
      <c r="G72" s="162">
        <f>+G48</f>
        <v/>
      </c>
      <c r="H72" s="162">
        <f>+H48</f>
        <v/>
      </c>
      <c r="I72" s="162">
        <f>+I48</f>
        <v/>
      </c>
      <c r="J72" s="162">
        <f>+J48</f>
        <v/>
      </c>
      <c r="K72" s="162">
        <f>+K48</f>
        <v/>
      </c>
      <c r="L72" s="162">
        <f>+L48</f>
        <v/>
      </c>
      <c r="M72" s="158" t="n"/>
      <c r="N72" s="158" t="n"/>
      <c r="O72" s="158" t="n"/>
    </row>
    <row r="73">
      <c r="A73" s="158" t="n"/>
      <c r="B73" s="163" t="n">
        <v>4</v>
      </c>
      <c r="C73" s="158" t="n"/>
      <c r="D73" s="164" t="inlineStr">
        <is>
          <t>Total Sponsor PE Gross Exit Proceeds (100% Consortium Pool)</t>
        </is>
      </c>
      <c r="E73" s="165">
        <f>+E56</f>
        <v/>
      </c>
      <c r="F73" s="165">
        <f>+F56</f>
        <v/>
      </c>
      <c r="G73" s="165">
        <f>+G56</f>
        <v/>
      </c>
      <c r="H73" s="166">
        <f>+H56</f>
        <v/>
      </c>
      <c r="I73" s="165">
        <f>+I56</f>
        <v/>
      </c>
      <c r="J73" s="165">
        <f>+J56</f>
        <v/>
      </c>
      <c r="K73" s="165">
        <f>+K56</f>
        <v/>
      </c>
      <c r="L73" s="166">
        <f>+L56</f>
        <v/>
      </c>
      <c r="M73" s="158" t="n"/>
      <c r="N73" s="158" t="n"/>
      <c r="O73" s="158" t="n"/>
    </row>
    <row r="74">
      <c r="A74" s="158" t="n"/>
      <c r="B74" s="158" t="n"/>
      <c r="C74" s="158" t="n"/>
      <c r="D74" s="167" t="inlineStr">
        <is>
          <t>1. Lead GP Pro-Rata Co-Investment Share (15.0% of Pool)</t>
        </is>
      </c>
      <c r="E74" s="168">
        <f>+E73*$L$44</f>
        <v/>
      </c>
      <c r="F74" s="168">
        <f>+F73*$L$44</f>
        <v/>
      </c>
      <c r="G74" s="168">
        <f>+G73*$L$44</f>
        <v/>
      </c>
      <c r="H74" s="168">
        <f>+H73*$L$44</f>
        <v/>
      </c>
      <c r="I74" s="168">
        <f>+I73*$L$44</f>
        <v/>
      </c>
      <c r="J74" s="168">
        <f>+J73*$L$44</f>
        <v/>
      </c>
      <c r="K74" s="168">
        <f>+K73*$L$44</f>
        <v/>
      </c>
      <c r="L74" s="168">
        <f>+L73*$L$44</f>
        <v/>
      </c>
      <c r="M74" s="158" t="n"/>
      <c r="N74" s="158" t="n"/>
      <c r="O74" s="158" t="n"/>
    </row>
    <row r="75">
      <c r="A75" s="158" t="n"/>
      <c r="B75" s="158" t="n"/>
      <c r="C75" s="158" t="n"/>
      <c r="D75" s="169" t="inlineStr">
        <is>
          <t>2. Passive LPs Gross Syndicate Pool Before Promote (85.0% of Pool)</t>
        </is>
      </c>
      <c r="E75" s="170">
        <f>+E73*$L$43</f>
        <v/>
      </c>
      <c r="F75" s="170">
        <f>+F73*$L$43</f>
        <v/>
      </c>
      <c r="G75" s="170">
        <f>+G73*$L$43</f>
        <v/>
      </c>
      <c r="H75" s="170">
        <f>+H73*$L$43</f>
        <v/>
      </c>
      <c r="I75" s="170">
        <f>+I73*$L$43</f>
        <v/>
      </c>
      <c r="J75" s="170">
        <f>+J73*$L$43</f>
        <v/>
      </c>
      <c r="K75" s="170">
        <f>+K73*$L$43</f>
        <v/>
      </c>
      <c r="L75" s="170">
        <f>+L73*$L$43</f>
        <v/>
      </c>
      <c r="M75" s="158" t="n"/>
      <c r="N75" s="158" t="n"/>
      <c r="O75" s="158" t="n"/>
    </row>
    <row r="76">
      <c r="A76" s="158" t="n"/>
      <c r="B76" s="158" t="n"/>
      <c r="C76" s="158" t="n"/>
      <c r="D76" s="167" t="inlineStr">
        <is>
          <t>Tier 1 — Return of LP Contributed Capital (100% LP Principal)</t>
        </is>
      </c>
      <c r="E76" s="168">
        <f>+MIN(E75,$J$43)</f>
        <v/>
      </c>
      <c r="F76" s="168">
        <f>+MIN(F75,$J$43)</f>
        <v/>
      </c>
      <c r="G76" s="168">
        <f>+MIN(G75,$J$43)</f>
        <v/>
      </c>
      <c r="H76" s="168">
        <f>+MIN(H75,$J$43)</f>
        <v/>
      </c>
      <c r="I76" s="168">
        <f>+MIN(I75,$J$43)</f>
        <v/>
      </c>
      <c r="J76" s="168">
        <f>+MIN(J75,$J$43)</f>
        <v/>
      </c>
      <c r="K76" s="168">
        <f>+MIN(K75,$J$43)</f>
        <v/>
      </c>
      <c r="L76" s="168">
        <f>+MIN(L75,$J$43)</f>
        <v/>
      </c>
      <c r="M76" s="158" t="n"/>
      <c r="N76" s="158" t="n"/>
      <c r="O76" s="158" t="n"/>
    </row>
    <row r="77">
      <c r="A77" s="158" t="n"/>
      <c r="B77" s="158" t="n"/>
      <c r="C77" s="158" t="n"/>
      <c r="D77" s="131" t="inlineStr">
        <is>
          <t>Memo: LP Compound Hurdle Target (8.0% p.a. Preferred Return)</t>
        </is>
      </c>
      <c r="E77" s="171" t="n">
        <v>0</v>
      </c>
      <c r="F77" s="171">
        <f>+$J$43*((1+$L$45)^(F$72-$E$72)-1)</f>
        <v/>
      </c>
      <c r="G77" s="171">
        <f>+$J$43*((1+$L$45)^(G$72-$E$72)-1)</f>
        <v/>
      </c>
      <c r="H77" s="171">
        <f>+$J$43*((1+$L$45)^(H$72-$E$72)-1)</f>
        <v/>
      </c>
      <c r="I77" s="171">
        <f>+$J$43*((1+$L$45)^(I$72-$E$72)-1)</f>
        <v/>
      </c>
      <c r="J77" s="171">
        <f>+$J$43*((1+$L$45)^(J$72-$E$72)-1)</f>
        <v/>
      </c>
      <c r="K77" s="171">
        <f>+$J$43*((1+$L$45)^(K$72-$E$72)-1)</f>
        <v/>
      </c>
      <c r="L77" s="171">
        <f>+$J$43*((1+$L$45)^(L$72-$E$72)-1)</f>
        <v/>
      </c>
      <c r="M77" s="158" t="n"/>
      <c r="N77" s="158" t="n"/>
      <c r="O77" s="158" t="n"/>
    </row>
    <row r="78">
      <c r="A78" s="158" t="n"/>
      <c r="B78" s="158" t="n"/>
      <c r="C78" s="158" t="n"/>
      <c r="D78" s="123" t="inlineStr">
        <is>
          <t>Tier 2 — LP Preferred Return Paid (8.0% p.a. Compound Hurdle)</t>
        </is>
      </c>
      <c r="E78" s="168" t="n">
        <v>0</v>
      </c>
      <c r="F78" s="168">
        <f>+MIN(MAX(0,F75-F76),F77)</f>
        <v/>
      </c>
      <c r="G78" s="168">
        <f>+MIN(MAX(0,G75-G76),G77)</f>
        <v/>
      </c>
      <c r="H78" s="168">
        <f>+MIN(MAX(0,H75-H76),H77)</f>
        <v/>
      </c>
      <c r="I78" s="168">
        <f>+MIN(MAX(0,I75-I76),I77)</f>
        <v/>
      </c>
      <c r="J78" s="168">
        <f>+MIN(MAX(0,J75-J76),J77)</f>
        <v/>
      </c>
      <c r="K78" s="168">
        <f>+MIN(MAX(0,K75-K76),K77)</f>
        <v/>
      </c>
      <c r="L78" s="168">
        <f>+MIN(MAX(0,L75-L76),L77)</f>
        <v/>
      </c>
      <c r="M78" s="158" t="n"/>
      <c r="N78" s="158" t="n"/>
      <c r="O78" s="158" t="n"/>
    </row>
    <row r="79">
      <c r="A79" s="158" t="n"/>
      <c r="B79" s="158" t="n"/>
      <c r="C79" s="158" t="n"/>
      <c r="D79" s="123" t="inlineStr">
        <is>
          <t>Tier 3 — GP Catch-Up (100% Catch-Up to 20.0% Promote)</t>
        </is>
      </c>
      <c r="E79" s="168" t="n">
        <v>0</v>
      </c>
      <c r="F79" s="168">
        <f>+MIN(MAX(0,F75-F76-F78),F78*($L$46/(1-$L$46))*$J$45)</f>
        <v/>
      </c>
      <c r="G79" s="168">
        <f>+MIN(MAX(0,G75-G76-G78),G78*($L$46/(1-$L$46))*$J$45)</f>
        <v/>
      </c>
      <c r="H79" s="168">
        <f>+MIN(MAX(0,H75-H76-H78),H78*($L$46/(1-$L$46))*$J$45)</f>
        <v/>
      </c>
      <c r="I79" s="168">
        <f>+MIN(MAX(0,I75-I76-I78),I78*($L$46/(1-$L$46))*$J$45)</f>
        <v/>
      </c>
      <c r="J79" s="168">
        <f>+MIN(MAX(0,J75-J76-J78),J78*($L$46/(1-$L$46))*$J$45)</f>
        <v/>
      </c>
      <c r="K79" s="168">
        <f>+MIN(MAX(0,K75-K76-K78),K78*($L$46/(1-$L$46))*$J$45)</f>
        <v/>
      </c>
      <c r="L79" s="168">
        <f>+MIN(MAX(0,L75-L76-L78),L78*($L$46/(1-$L$46))*$J$45)</f>
        <v/>
      </c>
      <c r="M79" s="158" t="n"/>
      <c r="N79" s="158" t="n"/>
      <c r="O79" s="158" t="n"/>
    </row>
    <row r="80">
      <c r="A80" s="158" t="n"/>
      <c r="B80" s="158" t="n"/>
      <c r="C80" s="158" t="n"/>
      <c r="D80" s="123" t="inlineStr">
        <is>
          <t>Tier 4A — Residual Excess Profit to Passive LPs (80.0% Split)</t>
        </is>
      </c>
      <c r="E80" s="168" t="n">
        <v>0</v>
      </c>
      <c r="F80" s="168">
        <f>+MAX(0,F75-F76-F78-F79)*(1-$L$46)</f>
        <v/>
      </c>
      <c r="G80" s="168">
        <f>+MAX(0,G75-G76-G78-G79)*(1-$L$46)</f>
        <v/>
      </c>
      <c r="H80" s="168">
        <f>+MAX(0,H75-H76-H78-H79)*(1-$L$46)</f>
        <v/>
      </c>
      <c r="I80" s="168">
        <f>+MAX(0,I75-I76-I78-I79)*(1-$L$46)</f>
        <v/>
      </c>
      <c r="J80" s="168">
        <f>+MAX(0,J75-J76-J78-J79)*(1-$L$46)</f>
        <v/>
      </c>
      <c r="K80" s="168">
        <f>+MAX(0,K75-K76-K78-K79)*(1-$L$46)</f>
        <v/>
      </c>
      <c r="L80" s="168">
        <f>+MAX(0,L75-L76-L78-L79)*(1-$L$46)</f>
        <v/>
      </c>
      <c r="M80" s="158" t="n"/>
      <c r="N80" s="158" t="n"/>
      <c r="O80" s="158" t="n"/>
    </row>
    <row r="81">
      <c r="A81" s="158" t="n"/>
      <c r="B81" s="158" t="n"/>
      <c r="C81" s="158" t="n"/>
      <c r="D81" s="123" t="inlineStr">
        <is>
          <t>Tier 4B — Residual Carried Interest to Lead GP (20.0% Promote)</t>
        </is>
      </c>
      <c r="E81" s="168" t="n">
        <v>0</v>
      </c>
      <c r="F81" s="168">
        <f>+MAX(0,F75-F76-F78-F79)*$L$46</f>
        <v/>
      </c>
      <c r="G81" s="168">
        <f>+MAX(0,G75-G76-G78-G79)*$L$46</f>
        <v/>
      </c>
      <c r="H81" s="168">
        <f>+MAX(0,H75-H76-H78-H79)*$L$46</f>
        <v/>
      </c>
      <c r="I81" s="168">
        <f>+MAX(0,I75-I76-I78-I79)*$L$46</f>
        <v/>
      </c>
      <c r="J81" s="168">
        <f>+MAX(0,J75-J76-J78-J79)*$L$46</f>
        <v/>
      </c>
      <c r="K81" s="168">
        <f>+MAX(0,K75-K76-K78-K79)*$L$46</f>
        <v/>
      </c>
      <c r="L81" s="168">
        <f>+MAX(0,L75-L76-L78-L79)*$L$46</f>
        <v/>
      </c>
      <c r="M81" s="158" t="n"/>
      <c r="N81" s="158" t="n"/>
      <c r="O81" s="158" t="n"/>
    </row>
    <row r="82">
      <c r="A82" s="158" t="n"/>
      <c r="B82" s="158" t="n"/>
      <c r="C82" s="158" t="n"/>
      <c r="D82" s="164" t="inlineStr">
        <is>
          <t>Passive LPs Net Exit Proceeds (Tier 1 + Tier 2 + Tier 4A)</t>
        </is>
      </c>
      <c r="E82" s="166">
        <f>+E76+E78+E80</f>
        <v/>
      </c>
      <c r="F82" s="166">
        <f>+F76+F78+F80</f>
        <v/>
      </c>
      <c r="G82" s="166">
        <f>+G76+G78+G80</f>
        <v/>
      </c>
      <c r="H82" s="166">
        <f>+H76+H78+H80</f>
        <v/>
      </c>
      <c r="I82" s="166">
        <f>+I76+I78+I80</f>
        <v/>
      </c>
      <c r="J82" s="166">
        <f>+J76+J78+J80</f>
        <v/>
      </c>
      <c r="K82" s="166">
        <f>+K76+K78+K80</f>
        <v/>
      </c>
      <c r="L82" s="166">
        <f>+L76+L78+L80</f>
        <v/>
      </c>
      <c r="M82" s="158" t="n"/>
      <c r="N82" s="158" t="n"/>
      <c r="O82" s="158" t="n"/>
    </row>
    <row r="83">
      <c r="A83" s="158" t="n"/>
      <c r="B83" s="158" t="n"/>
      <c r="C83" s="158" t="n"/>
      <c r="D83" s="164" t="inlineStr">
        <is>
          <t>Total GP Carried Interest / Promote Earned (Tier 3 + Tier 4B)</t>
        </is>
      </c>
      <c r="E83" s="166">
        <f>+E79+E81</f>
        <v/>
      </c>
      <c r="F83" s="166">
        <f>+F79+F81</f>
        <v/>
      </c>
      <c r="G83" s="166">
        <f>+G79+G81</f>
        <v/>
      </c>
      <c r="H83" s="166">
        <f>+H79+H81</f>
        <v/>
      </c>
      <c r="I83" s="166">
        <f>+I79+I81</f>
        <v/>
      </c>
      <c r="J83" s="166">
        <f>+J79+J81</f>
        <v/>
      </c>
      <c r="K83" s="166">
        <f>+K79+K81</f>
        <v/>
      </c>
      <c r="L83" s="166">
        <f>+L79+L81</f>
        <v/>
      </c>
      <c r="M83" s="158" t="n"/>
      <c r="N83" s="158" t="n"/>
      <c r="O83" s="158" t="n"/>
    </row>
    <row r="84">
      <c r="A84" s="158" t="n"/>
      <c r="B84" s="158" t="n"/>
      <c r="C84" s="158" t="n"/>
      <c r="D84" s="149" t="inlineStr">
        <is>
          <t>Lead GP Total Net Exit Proceeds (Co-Invest Pro-Rata + Carry)</t>
        </is>
      </c>
      <c r="E84" s="151">
        <f>+E74+E83</f>
        <v/>
      </c>
      <c r="F84" s="151">
        <f>+F74+F83</f>
        <v/>
      </c>
      <c r="G84" s="151">
        <f>+G74+G83</f>
        <v/>
      </c>
      <c r="H84" s="151">
        <f>+H74+H83</f>
        <v/>
      </c>
      <c r="I84" s="151">
        <f>+I74+I83</f>
        <v/>
      </c>
      <c r="J84" s="151">
        <f>+J74+J83</f>
        <v/>
      </c>
      <c r="K84" s="151">
        <f>+K74+K83</f>
        <v/>
      </c>
      <c r="L84" s="151">
        <f>+L74+L83</f>
        <v/>
      </c>
      <c r="M84" s="158" t="n"/>
      <c r="N84" s="158" t="n"/>
      <c r="O84" s="158" t="n"/>
    </row>
    <row r="85">
      <c r="A85" s="158" t="n"/>
      <c r="B85" s="158" t="n"/>
      <c r="C85" s="158" t="n"/>
      <c r="D85" s="131" t="inlineStr">
        <is>
          <t>Implied Passive LPs Net IRR if Exited in Year (%)</t>
        </is>
      </c>
      <c r="E85" s="158" t="n"/>
      <c r="F85" s="172">
        <f>+IFERROR((F82/$J$43)^(1/(F$72-$E$72))-1,0)</f>
        <v/>
      </c>
      <c r="G85" s="172">
        <f>+IFERROR((G82/$J$43)^(1/(G$72-$E$72))-1,0)</f>
        <v/>
      </c>
      <c r="H85" s="172">
        <f>+IFERROR((H82/$J$43)^(1/(H$72-$E$72))-1,0)</f>
        <v/>
      </c>
      <c r="I85" s="172">
        <f>+IFERROR((I82/$J$43)^(1/(I$72-$E$72))-1,0)</f>
        <v/>
      </c>
      <c r="J85" s="172">
        <f>+IFERROR((J82/$J$43)^(1/(J$72-$E$72))-1,0)</f>
        <v/>
      </c>
      <c r="K85" s="172">
        <f>+IFERROR((K82/$J$43)^(1/(K$72-$E$72))-1,0)</f>
        <v/>
      </c>
      <c r="L85" s="172">
        <f>+IFERROR((L82/$J$43)^(1/(L$72-$E$72))-1,0)</f>
        <v/>
      </c>
      <c r="M85" s="158" t="n"/>
      <c r="N85" s="158" t="n"/>
      <c r="O85" s="158" t="n"/>
    </row>
    <row r="86">
      <c r="A86" s="158" t="n"/>
      <c r="B86" s="158" t="n"/>
      <c r="C86" s="158" t="n"/>
      <c r="D86" s="131" t="inlineStr">
        <is>
          <t>Implied Passive LPs Net MOIC (Cash-on-Cash) if Exited in Year (x)</t>
        </is>
      </c>
      <c r="E86" s="158" t="n"/>
      <c r="F86" s="173">
        <f>+IFERROR(F82/$J$43,0)</f>
        <v/>
      </c>
      <c r="G86" s="173">
        <f>+IFERROR(G82/$J$43,0)</f>
        <v/>
      </c>
      <c r="H86" s="173">
        <f>+IFERROR(H82/$J$43,0)</f>
        <v/>
      </c>
      <c r="I86" s="173">
        <f>+IFERROR(I82/$J$43,0)</f>
        <v/>
      </c>
      <c r="J86" s="173">
        <f>+IFERROR(J82/$J$43,0)</f>
        <v/>
      </c>
      <c r="K86" s="173">
        <f>+IFERROR(K82/$J$43,0)</f>
        <v/>
      </c>
      <c r="L86" s="173">
        <f>+IFERROR(L82/$J$43,0)</f>
        <v/>
      </c>
      <c r="M86" s="158" t="n"/>
      <c r="N86" s="158" t="n"/>
      <c r="O86" s="158" t="n"/>
    </row>
    <row r="87">
      <c r="A87" s="158" t="n"/>
      <c r="B87" s="158" t="n"/>
      <c r="C87" s="158" t="n"/>
      <c r="D87" s="174" t="inlineStr">
        <is>
          <t>Implied Lead GP Net IRR (w/ 20% Carry) if Exited in Year (%)</t>
        </is>
      </c>
      <c r="E87" s="174" t="n"/>
      <c r="F87" s="175">
        <f>+M90</f>
        <v/>
      </c>
      <c r="G87" s="175">
        <f>+M91</f>
        <v/>
      </c>
      <c r="H87" s="175">
        <f>+M92</f>
        <v/>
      </c>
      <c r="I87" s="175">
        <f>+M93</f>
        <v/>
      </c>
      <c r="J87" s="175">
        <f>+M94</f>
        <v/>
      </c>
      <c r="K87" s="175">
        <f>+M95</f>
        <v/>
      </c>
      <c r="L87" s="175">
        <f>+M96</f>
        <v/>
      </c>
      <c r="M87" s="158" t="n"/>
      <c r="N87" s="158" t="n"/>
      <c r="O87" s="158" t="n"/>
    </row>
    <row r="88">
      <c r="A88" s="158" t="n"/>
      <c r="B88" s="158" t="n"/>
      <c r="C88" s="158" t="n"/>
      <c r="D88" s="176" t="inlineStr">
        <is>
          <t>Implied Lead GP Net MOIC (w/ 20% Carry) if Exited in Year (x)</t>
        </is>
      </c>
      <c r="E88" s="176" t="n"/>
      <c r="F88" s="177">
        <f>+N90</f>
        <v/>
      </c>
      <c r="G88" s="177">
        <f>+N91</f>
        <v/>
      </c>
      <c r="H88" s="177">
        <f>+N92</f>
        <v/>
      </c>
      <c r="I88" s="177">
        <f>+N93</f>
        <v/>
      </c>
      <c r="J88" s="177">
        <f>+N94</f>
        <v/>
      </c>
      <c r="K88" s="177">
        <f>+N95</f>
        <v/>
      </c>
      <c r="L88" s="177">
        <f>+N96</f>
        <v/>
      </c>
      <c r="M88" s="158" t="n"/>
      <c r="N88" s="158" t="n"/>
      <c r="O88" s="158" t="n"/>
    </row>
    <row r="89">
      <c r="A89" s="158" t="n"/>
      <c r="B89" s="158" t="n"/>
      <c r="C89" s="158" t="n"/>
      <c r="D89" s="140" t="inlineStr">
        <is>
          <t>Lead GP Net Cash Flow Schedule (Co-Invest + Carry, 2026E–2032E)</t>
        </is>
      </c>
      <c r="E89" s="161">
        <f>+E72</f>
        <v/>
      </c>
      <c r="F89" s="162">
        <f>+F72</f>
        <v/>
      </c>
      <c r="G89" s="162">
        <f>+G72</f>
        <v/>
      </c>
      <c r="H89" s="162">
        <f>+H72</f>
        <v/>
      </c>
      <c r="I89" s="162">
        <f>+I72</f>
        <v/>
      </c>
      <c r="J89" s="162">
        <f>+J72</f>
        <v/>
      </c>
      <c r="K89" s="162">
        <f>+K72</f>
        <v/>
      </c>
      <c r="L89" s="162">
        <f>+L72</f>
        <v/>
      </c>
      <c r="M89" s="142" t="inlineStr">
        <is>
          <t>Lead GP IRR</t>
        </is>
      </c>
      <c r="N89" s="142" t="inlineStr">
        <is>
          <t>Lead GP MOIC</t>
        </is>
      </c>
      <c r="O89" s="158" t="n"/>
    </row>
    <row r="90">
      <c r="A90" s="158" t="n"/>
      <c r="B90" s="158" t="n"/>
      <c r="C90" s="158" t="n"/>
      <c r="D90" s="178">
        <f>+F89</f>
        <v/>
      </c>
      <c r="E90" s="168">
        <f>-$J$44</f>
        <v/>
      </c>
      <c r="F90" s="168">
        <f>+F$84</f>
        <v/>
      </c>
      <c r="G90" s="168" t="n">
        <v>0</v>
      </c>
      <c r="H90" s="168" t="n">
        <v>0</v>
      </c>
      <c r="I90" s="168" t="n">
        <v>0</v>
      </c>
      <c r="J90" s="168" t="n">
        <v>0</v>
      </c>
      <c r="K90" s="168" t="n">
        <v>0</v>
      </c>
      <c r="L90" s="168" t="n">
        <v>0</v>
      </c>
      <c r="M90" s="179">
        <f>+IFERROR((N90)^(1/(F$89-$E$89))-1,0)</f>
        <v/>
      </c>
      <c r="N90" s="180">
        <f>+IFERROR(-SUM(F90:F90)/E90,0)</f>
        <v/>
      </c>
      <c r="O90" s="158" t="n"/>
    </row>
    <row r="91">
      <c r="A91" s="158" t="n"/>
      <c r="B91" s="158" t="n"/>
      <c r="C91" s="158" t="n"/>
      <c r="D91" s="178">
        <f>+G89</f>
        <v/>
      </c>
      <c r="E91" s="168">
        <f>-$J$44</f>
        <v/>
      </c>
      <c r="F91" s="168" t="n">
        <v>0</v>
      </c>
      <c r="G91" s="168">
        <f>+G$84</f>
        <v/>
      </c>
      <c r="H91" s="168" t="n">
        <v>0</v>
      </c>
      <c r="I91" s="168" t="n">
        <v>0</v>
      </c>
      <c r="J91" s="168" t="n">
        <v>0</v>
      </c>
      <c r="K91" s="168" t="n">
        <v>0</v>
      </c>
      <c r="L91" s="168" t="n">
        <v>0</v>
      </c>
      <c r="M91" s="179">
        <f>+IFERROR((N91)^(1/(G$89-$E$89))-1,0)</f>
        <v/>
      </c>
      <c r="N91" s="180">
        <f>+IFERROR(-SUM(F91:G91)/E91,0)</f>
        <v/>
      </c>
      <c r="O91" s="158" t="n"/>
    </row>
    <row r="92">
      <c r="A92" s="158" t="n"/>
      <c r="B92" s="158" t="n"/>
      <c r="C92" s="158" t="n"/>
      <c r="D92" s="178">
        <f>+H89</f>
        <v/>
      </c>
      <c r="E92" s="168">
        <f>-$J$44</f>
        <v/>
      </c>
      <c r="F92" s="168" t="n">
        <v>0</v>
      </c>
      <c r="G92" s="168" t="n">
        <v>0</v>
      </c>
      <c r="H92" s="168">
        <f>+H$84</f>
        <v/>
      </c>
      <c r="I92" s="168" t="n">
        <v>0</v>
      </c>
      <c r="J92" s="168" t="n">
        <v>0</v>
      </c>
      <c r="K92" s="168" t="n">
        <v>0</v>
      </c>
      <c r="L92" s="168" t="n">
        <v>0</v>
      </c>
      <c r="M92" s="179">
        <f>+IFERROR((N92)^(1/(H$89-$E$89))-1,0)</f>
        <v/>
      </c>
      <c r="N92" s="180">
        <f>+IFERROR(-SUM(F92:H92)/E92,0)</f>
        <v/>
      </c>
      <c r="O92" s="158" t="n"/>
    </row>
    <row r="93">
      <c r="A93" s="158" t="n"/>
      <c r="B93" s="158" t="n"/>
      <c r="C93" s="158" t="n"/>
      <c r="D93" s="178">
        <f>+I89</f>
        <v/>
      </c>
      <c r="E93" s="168">
        <f>-$J$44</f>
        <v/>
      </c>
      <c r="F93" s="168" t="n">
        <v>0</v>
      </c>
      <c r="G93" s="168" t="n">
        <v>0</v>
      </c>
      <c r="H93" s="168" t="n">
        <v>0</v>
      </c>
      <c r="I93" s="168">
        <f>+I$84</f>
        <v/>
      </c>
      <c r="J93" s="168" t="n">
        <v>0</v>
      </c>
      <c r="K93" s="168" t="n">
        <v>0</v>
      </c>
      <c r="L93" s="168" t="n">
        <v>0</v>
      </c>
      <c r="M93" s="179">
        <f>+IFERROR((N93)^(1/(I$89-$E$89))-1,0)</f>
        <v/>
      </c>
      <c r="N93" s="180">
        <f>+IFERROR(-SUM(F93:I93)/E93,0)</f>
        <v/>
      </c>
      <c r="O93" s="158" t="n"/>
    </row>
    <row r="94">
      <c r="A94" s="158" t="n"/>
      <c r="B94" s="158" t="n"/>
      <c r="C94" s="158" t="n"/>
      <c r="D94" s="178">
        <f>+J89</f>
        <v/>
      </c>
      <c r="E94" s="168">
        <f>-$J$44</f>
        <v/>
      </c>
      <c r="F94" s="168" t="n">
        <v>0</v>
      </c>
      <c r="G94" s="168" t="n">
        <v>0</v>
      </c>
      <c r="H94" s="168" t="n">
        <v>0</v>
      </c>
      <c r="I94" s="168" t="n">
        <v>0</v>
      </c>
      <c r="J94" s="168">
        <f>+J$84</f>
        <v/>
      </c>
      <c r="K94" s="168" t="n">
        <v>0</v>
      </c>
      <c r="L94" s="168" t="n">
        <v>0</v>
      </c>
      <c r="M94" s="179">
        <f>+IFERROR((N94)^(1/(J$89-$E$89))-1,0)</f>
        <v/>
      </c>
      <c r="N94" s="180">
        <f>+IFERROR(-SUM(F94:J94)/E94,0)</f>
        <v/>
      </c>
      <c r="O94" s="158" t="n"/>
    </row>
    <row r="95">
      <c r="A95" s="158" t="n"/>
      <c r="B95" s="158" t="n"/>
      <c r="C95" s="158" t="n"/>
      <c r="D95" s="178">
        <f>+K89</f>
        <v/>
      </c>
      <c r="E95" s="168">
        <f>-$J$44</f>
        <v/>
      </c>
      <c r="F95" s="168" t="n">
        <v>0</v>
      </c>
      <c r="G95" s="168" t="n">
        <v>0</v>
      </c>
      <c r="H95" s="168" t="n">
        <v>0</v>
      </c>
      <c r="I95" s="168" t="n">
        <v>0</v>
      </c>
      <c r="J95" s="168" t="n">
        <v>0</v>
      </c>
      <c r="K95" s="168">
        <f>+K$84</f>
        <v/>
      </c>
      <c r="L95" s="168" t="n">
        <v>0</v>
      </c>
      <c r="M95" s="179">
        <f>+IFERROR((N95)^(1/(K$89-$E$89))-1,0)</f>
        <v/>
      </c>
      <c r="N95" s="180">
        <f>+IFERROR(-SUM(F95:K95)/E95,0)</f>
        <v/>
      </c>
      <c r="O95" s="158" t="n"/>
    </row>
    <row r="96">
      <c r="A96" s="158" t="n"/>
      <c r="B96" s="158" t="n"/>
      <c r="C96" s="158" t="n"/>
      <c r="D96" s="178">
        <f>+L89</f>
        <v/>
      </c>
      <c r="E96" s="168">
        <f>-$J$44</f>
        <v/>
      </c>
      <c r="F96" s="168" t="n">
        <v>0</v>
      </c>
      <c r="G96" s="168" t="n">
        <v>0</v>
      </c>
      <c r="H96" s="168" t="n">
        <v>0</v>
      </c>
      <c r="I96" s="168" t="n">
        <v>0</v>
      </c>
      <c r="J96" s="168" t="n">
        <v>0</v>
      </c>
      <c r="K96" s="168" t="n">
        <v>0</v>
      </c>
      <c r="L96" s="168">
        <f>+L$84</f>
        <v/>
      </c>
      <c r="M96" s="179">
        <f>+IFERROR((N96)^(1/(L$89-$E$89))-1,0)</f>
        <v/>
      </c>
      <c r="N96" s="180">
        <f>+IFERROR(-SUM(F96:L96)/E96,0)</f>
        <v/>
      </c>
      <c r="O96" s="158" t="n"/>
    </row>
    <row r="97">
      <c r="A97" s="158" t="n"/>
      <c r="B97" s="158" t="n"/>
      <c r="C97" s="158" t="n"/>
      <c r="D97" s="176">
        <f>"Active Selected Exit Lead GP Cash Flows @ "&amp;L10&amp;"E"</f>
        <v/>
      </c>
      <c r="E97" s="181">
        <f>+INDEX(E90:E96,MATCH($L$10,$D$90:$D$96,0))</f>
        <v/>
      </c>
      <c r="F97" s="181">
        <f>+INDEX(F90:F96,MATCH($L$10,$D$90:$D$96,0))</f>
        <v/>
      </c>
      <c r="G97" s="181">
        <f>+INDEX(G90:G96,MATCH($L$10,$D$90:$D$96,0))</f>
        <v/>
      </c>
      <c r="H97" s="181">
        <f>+INDEX(H90:H96,MATCH($L$10,$D$90:$D$96,0))</f>
        <v/>
      </c>
      <c r="I97" s="181">
        <f>+INDEX(I90:I96,MATCH($L$10,$D$90:$D$96,0))</f>
        <v/>
      </c>
      <c r="J97" s="181">
        <f>+INDEX(J90:J96,MATCH($L$10,$D$90:$D$96,0))</f>
        <v/>
      </c>
      <c r="K97" s="181">
        <f>+INDEX(K90:K96,MATCH($L$10,$D$90:$D$96,0))</f>
        <v/>
      </c>
      <c r="L97" s="181">
        <f>+INDEX(L90:L96,MATCH($L$10,$D$90:$D$96,0))</f>
        <v/>
      </c>
      <c r="M97" s="182">
        <f>+INDEX(M90:M96,MATCH($L$10,$D$90:$D$96,0))</f>
        <v/>
      </c>
      <c r="N97" s="177">
        <f>+INDEX(N90:N96,MATCH($L$10,$D$90:$D$96,0))</f>
        <v/>
      </c>
      <c r="O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</row>
    <row r="99" ht="16" customHeight="1" s="114">
      <c r="A99" s="159" t="inlineStr">
        <is>
          <t>&gt;</t>
        </is>
      </c>
      <c r="B99" s="159" t="inlineStr">
        <is>
          <t>&gt;</t>
        </is>
      </c>
      <c r="C99" s="160" t="inlineStr">
        <is>
          <t>5. Sensitivity Analysis: Lead GP Net IRR/MOIC (LP Syndication vs. Exit Multiple) &amp; Deal Leverage Grid</t>
        </is>
      </c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58" t="n"/>
    </row>
    <row r="100">
      <c r="A100" s="158" t="n"/>
      <c r="B100" s="158" t="n"/>
      <c r="C100" s="158" t="n"/>
      <c r="D100" s="183" t="inlineStr">
        <is>
          <t>LP Syndication % \ Exit Multiple (Lead GP Net IRR)</t>
        </is>
      </c>
      <c r="E100" s="184" t="n">
        <v>17.5</v>
      </c>
      <c r="F100" s="184">
        <f>+$L$11</f>
        <v/>
      </c>
      <c r="G100" s="184" t="n">
        <v>21</v>
      </c>
      <c r="H100" s="158" t="n"/>
      <c r="I100" s="185">
        <f>+E100</f>
        <v/>
      </c>
      <c r="J100" s="185">
        <f>+F100</f>
        <v/>
      </c>
      <c r="K100" s="185">
        <f>+G100</f>
        <v/>
      </c>
      <c r="L100" s="158" t="n"/>
      <c r="M100" s="158" t="n"/>
      <c r="N100" s="158" t="n"/>
      <c r="O100" s="158" t="n"/>
    </row>
    <row r="101">
      <c r="A101" s="158" t="n"/>
      <c r="B101" s="158" t="n"/>
      <c r="C101" s="158" t="n"/>
      <c r="D101" s="186" t="n">
        <v>0.75</v>
      </c>
      <c r="E101" s="187">
        <f>+(I101)^(1/($L$10-$E$48))-1</f>
        <v/>
      </c>
      <c r="F101" s="187">
        <f>+(J101)^(1/($L$10-$E$48))-1</f>
        <v/>
      </c>
      <c r="G101" s="187">
        <f>+(K101)^(1/($L$10-$E$48))-1</f>
        <v/>
      </c>
      <c r="H101" s="158" t="n"/>
      <c r="I101" s="188">
        <f>+(((((INDEX($F$55:$L$55,1,MATCH($L$10,$F$48:$L$48,0))+((E$100-$L$11)*INDEX($F$49:$L$49,1,MATCH($L$10,$F$48:$L$48,0))*(1-$L$13)))*$F$44)*(1-$D101))+MIN(MAX(0,MAX(0,(((INDEX($F$55:$L$55,1,MATCH($L$10,$F$48:$L$48,0))+((E$100-$L$11)*INDEX($F$49:$L$49,1,MATCH($L$10,$F$48:$L$48,0))*(1-$L$13)))*$F$44)*$D101)-($E$44*$D101))-MIN(MAX(0,(((INDEX($F$55:$L$55,1,MATCH($L$10,$F$48:$L$48,0))+((E$100-$L$11)*INDEX($F$49:$L$49,1,MATCH($L$10,$F$48:$L$48,0))*(1-$L$13)))*$F$44)*$D101)-($E$44*$D101)),(($E$44*$D101)*((1+$L$45)^($L$10-$E$48)-1)))),MIN(MAX(0,(((INDEX($F$55:$L$55,1,MATCH($L$10,$F$48:$L$48,0))+((E$100-$L$11)*INDEX($F$49:$L$49,1,MATCH($L$10,$F$48:$L$48,0))*(1-$L$13)))*$F$44)*$D101)-($E$44*$D101)),(($E$44*$D101)*((1+$L$45)^($L$10-$E$48)-1)))*($L$46/(1-$L$46))*$J$45)+(MAX(0,MAX(0,(((INDEX($F$55:$L$55,1,MATCH($L$10,$F$48:$L$48,0))+((E$100-$L$11)*INDEX($F$49:$L$49,1,MATCH($L$10,$F$48:$L$48,0))*(1-$L$13)))*$F$44)*$D101)-($E$44*$D101))-MIN(MAX(0,(((INDEX($F$55:$L$55,1,MATCH($L$10,$F$48:$L$48,0))+((E$100-$L$11)*INDEX($F$49:$L$49,1,MATCH($L$10,$F$48:$L$48,0))*(1-$L$13)))*$F$44)*$D101)-($E$44*$D101)),(($E$44*$D101)*((1+$L$45)^($L$10-$E$48)-1)))-MIN(MAX(0,MAX(0,(((INDEX($F$55:$L$55,1,MATCH($L$10,$F$48:$L$48,0))+((E$100-$L$11)*INDEX($F$49:$L$49,1,MATCH($L$10,$F$48:$L$48,0))*(1-$L$13)))*$F$44)*$D101)-($E$44*$D101))-MIN(MAX(0,(((INDEX($F$55:$L$55,1,MATCH($L$10,$F$48:$L$48,0))+((E$100-$L$11)*INDEX($F$49:$L$49,1,MATCH($L$10,$F$48:$L$48,0))*(1-$L$13)))*$F$44)*$D101)-($E$44*$D101)),(($E$44*$D101)*((1+$L$45)^($L$10-$E$48)-1)))),MIN(MAX(0,(((INDEX($F$55:$L$55,1,MATCH($L$10,$F$48:$L$48,0))+((E$100-$L$11)*INDEX($F$49:$L$49,1,MATCH($L$10,$F$48:$L$48,0))*(1-$L$13)))*$F$44)*$D101)-($E$44*$D101)),(($E$44*$D101)*((1+$L$45)^($L$10-$E$48)-1)))*($L$46/(1-$L$46))*$J$45))*$L$46)))/($E$44*(1-$D101))</f>
        <v/>
      </c>
      <c r="J101" s="188">
        <f>+(((((INDEX($F$55:$L$55,1,MATCH($L$10,$F$48:$L$48,0))+((F$100-$L$11)*INDEX($F$49:$L$49,1,MATCH($L$10,$F$48:$L$48,0))*(1-$L$13)))*$F$44)*(1-$D101))+MIN(MAX(0,MAX(0,(((INDEX($F$55:$L$55,1,MATCH($L$10,$F$48:$L$48,0))+((F$100-$L$11)*INDEX($F$49:$L$49,1,MATCH($L$10,$F$48:$L$48,0))*(1-$L$13)))*$F$44)*$D101)-($E$44*$D101))-MIN(MAX(0,(((INDEX($F$55:$L$55,1,MATCH($L$10,$F$48:$L$48,0))+((F$100-$L$11)*INDEX($F$49:$L$49,1,MATCH($L$10,$F$48:$L$48,0))*(1-$L$13)))*$F$44)*$D101)-($E$44*$D101)),(($E$44*$D101)*((1+$L$45)^($L$10-$E$48)-1)))),MIN(MAX(0,(((INDEX($F$55:$L$55,1,MATCH($L$10,$F$48:$L$48,0))+((F$100-$L$11)*INDEX($F$49:$L$49,1,MATCH($L$10,$F$48:$L$48,0))*(1-$L$13)))*$F$44)*$D101)-($E$44*$D101)),(($E$44*$D101)*((1+$L$45)^($L$10-$E$48)-1)))*($L$46/(1-$L$46))*$J$45)+(MAX(0,MAX(0,(((INDEX($F$55:$L$55,1,MATCH($L$10,$F$48:$L$48,0))+((F$100-$L$11)*INDEX($F$49:$L$49,1,MATCH($L$10,$F$48:$L$48,0))*(1-$L$13)))*$F$44)*$D101)-($E$44*$D101))-MIN(MAX(0,(((INDEX($F$55:$L$55,1,MATCH($L$10,$F$48:$L$48,0))+((F$100-$L$11)*INDEX($F$49:$L$49,1,MATCH($L$10,$F$48:$L$48,0))*(1-$L$13)))*$F$44)*$D101)-($E$44*$D101)),(($E$44*$D101)*((1+$L$45)^($L$10-$E$48)-1)))-MIN(MAX(0,MAX(0,(((INDEX($F$55:$L$55,1,MATCH($L$10,$F$48:$L$48,0))+((F$100-$L$11)*INDEX($F$49:$L$49,1,MATCH($L$10,$F$48:$L$48,0))*(1-$L$13)))*$F$44)*$D101)-($E$44*$D101))-MIN(MAX(0,(((INDEX($F$55:$L$55,1,MATCH($L$10,$F$48:$L$48,0))+((F$100-$L$11)*INDEX($F$49:$L$49,1,MATCH($L$10,$F$48:$L$48,0))*(1-$L$13)))*$F$44)*$D101)-($E$44*$D101)),(($E$44*$D101)*((1+$L$45)^($L$10-$E$48)-1)))),MIN(MAX(0,(((INDEX($F$55:$L$55,1,MATCH($L$10,$F$48:$L$48,0))+((F$100-$L$11)*INDEX($F$49:$L$49,1,MATCH($L$10,$F$48:$L$48,0))*(1-$L$13)))*$F$44)*$D101)-($E$44*$D101)),(($E$44*$D101)*((1+$L$45)^($L$10-$E$48)-1)))*($L$46/(1-$L$46))*$J$45))*$L$46)))/($E$44*(1-$D101))</f>
        <v/>
      </c>
      <c r="K101" s="188">
        <f>+(((((INDEX($F$55:$L$55,1,MATCH($L$10,$F$48:$L$48,0))+((G$100-$L$11)*INDEX($F$49:$L$49,1,MATCH($L$10,$F$48:$L$48,0))*(1-$L$13)))*$F$44)*(1-$D101))+MIN(MAX(0,MAX(0,(((INDEX($F$55:$L$55,1,MATCH($L$10,$F$48:$L$48,0))+((G$100-$L$11)*INDEX($F$49:$L$49,1,MATCH($L$10,$F$48:$L$48,0))*(1-$L$13)))*$F$44)*$D101)-($E$44*$D101))-MIN(MAX(0,(((INDEX($F$55:$L$55,1,MATCH($L$10,$F$48:$L$48,0))+((G$100-$L$11)*INDEX($F$49:$L$49,1,MATCH($L$10,$F$48:$L$48,0))*(1-$L$13)))*$F$44)*$D101)-($E$44*$D101)),(($E$44*$D101)*((1+$L$45)^($L$10-$E$48)-1)))),MIN(MAX(0,(((INDEX($F$55:$L$55,1,MATCH($L$10,$F$48:$L$48,0))+((G$100-$L$11)*INDEX($F$49:$L$49,1,MATCH($L$10,$F$48:$L$48,0))*(1-$L$13)))*$F$44)*$D101)-($E$44*$D101)),(($E$44*$D101)*((1+$L$45)^($L$10-$E$48)-1)))*($L$46/(1-$L$46))*$J$45)+(MAX(0,MAX(0,(((INDEX($F$55:$L$55,1,MATCH($L$10,$F$48:$L$48,0))+((G$100-$L$11)*INDEX($F$49:$L$49,1,MATCH($L$10,$F$48:$L$48,0))*(1-$L$13)))*$F$44)*$D101)-($E$44*$D101))-MIN(MAX(0,(((INDEX($F$55:$L$55,1,MATCH($L$10,$F$48:$L$48,0))+((G$100-$L$11)*INDEX($F$49:$L$49,1,MATCH($L$10,$F$48:$L$48,0))*(1-$L$13)))*$F$44)*$D101)-($E$44*$D101)),(($E$44*$D101)*((1+$L$45)^($L$10-$E$48)-1)))-MIN(MAX(0,MAX(0,(((INDEX($F$55:$L$55,1,MATCH($L$10,$F$48:$L$48,0))+((G$100-$L$11)*INDEX($F$49:$L$49,1,MATCH($L$10,$F$48:$L$48,0))*(1-$L$13)))*$F$44)*$D101)-($E$44*$D101))-MIN(MAX(0,(((INDEX($F$55:$L$55,1,MATCH($L$10,$F$48:$L$48,0))+((G$100-$L$11)*INDEX($F$49:$L$49,1,MATCH($L$10,$F$48:$L$48,0))*(1-$L$13)))*$F$44)*$D101)-($E$44*$D101)),(($E$44*$D101)*((1+$L$45)^($L$10-$E$48)-1)))),MIN(MAX(0,(((INDEX($F$55:$L$55,1,MATCH($L$10,$F$48:$L$48,0))+((G$100-$L$11)*INDEX($F$49:$L$49,1,MATCH($L$10,$F$48:$L$48,0))*(1-$L$13)))*$F$44)*$D101)-($E$44*$D101)),(($E$44*$D101)*((1+$L$45)^($L$10-$E$48)-1)))*($L$46/(1-$L$46))*$J$45))*$L$46)))/($E$44*(1-$D101))</f>
        <v/>
      </c>
      <c r="L101" s="158" t="n"/>
      <c r="M101" s="158" t="n"/>
      <c r="N101" s="158" t="n"/>
      <c r="O101" s="158" t="n"/>
    </row>
    <row r="102">
      <c r="A102" s="158" t="n"/>
      <c r="B102" s="158" t="n"/>
      <c r="C102" s="158" t="n"/>
      <c r="D102" s="186" t="n">
        <v>0.8</v>
      </c>
      <c r="E102" s="187">
        <f>+(I102)^(1/($L$10-$E$48))-1</f>
        <v/>
      </c>
      <c r="F102" s="187">
        <f>+(J102)^(1/($L$10-$E$48))-1</f>
        <v/>
      </c>
      <c r="G102" s="187">
        <f>+(K102)^(1/($L$10-$E$48))-1</f>
        <v/>
      </c>
      <c r="H102" s="158" t="n"/>
      <c r="I102" s="188">
        <f>+(((((INDEX($F$55:$L$55,1,MATCH($L$10,$F$48:$L$48,0))+((E$100-$L$11)*INDEX($F$49:$L$49,1,MATCH($L$10,$F$48:$L$48,0))*(1-$L$13)))*$F$44)*(1-$D102))+MIN(MAX(0,MAX(0,(((INDEX($F$55:$L$55,1,MATCH($L$10,$F$48:$L$48,0))+((E$100-$L$11)*INDEX($F$49:$L$49,1,MATCH($L$10,$F$48:$L$48,0))*(1-$L$13)))*$F$44)*$D102)-($E$44*$D102))-MIN(MAX(0,(((INDEX($F$55:$L$55,1,MATCH($L$10,$F$48:$L$48,0))+((E$100-$L$11)*INDEX($F$49:$L$49,1,MATCH($L$10,$F$48:$L$48,0))*(1-$L$13)))*$F$44)*$D102)-($E$44*$D102)),(($E$44*$D102)*((1+$L$45)^($L$10-$E$48)-1)))),MIN(MAX(0,(((INDEX($F$55:$L$55,1,MATCH($L$10,$F$48:$L$48,0))+((E$100-$L$11)*INDEX($F$49:$L$49,1,MATCH($L$10,$F$48:$L$48,0))*(1-$L$13)))*$F$44)*$D102)-($E$44*$D102)),(($E$44*$D102)*((1+$L$45)^($L$10-$E$48)-1)))*($L$46/(1-$L$46))*$J$45)+(MAX(0,MAX(0,(((INDEX($F$55:$L$55,1,MATCH($L$10,$F$48:$L$48,0))+((E$100-$L$11)*INDEX($F$49:$L$49,1,MATCH($L$10,$F$48:$L$48,0))*(1-$L$13)))*$F$44)*$D102)-($E$44*$D102))-MIN(MAX(0,(((INDEX($F$55:$L$55,1,MATCH($L$10,$F$48:$L$48,0))+((E$100-$L$11)*INDEX($F$49:$L$49,1,MATCH($L$10,$F$48:$L$48,0))*(1-$L$13)))*$F$44)*$D102)-($E$44*$D102)),(($E$44*$D102)*((1+$L$45)^($L$10-$E$48)-1)))-MIN(MAX(0,MAX(0,(((INDEX($F$55:$L$55,1,MATCH($L$10,$F$48:$L$48,0))+((E$100-$L$11)*INDEX($F$49:$L$49,1,MATCH($L$10,$F$48:$L$48,0))*(1-$L$13)))*$F$44)*$D102)-($E$44*$D102))-MIN(MAX(0,(((INDEX($F$55:$L$55,1,MATCH($L$10,$F$48:$L$48,0))+((E$100-$L$11)*INDEX($F$49:$L$49,1,MATCH($L$10,$F$48:$L$48,0))*(1-$L$13)))*$F$44)*$D102)-($E$44*$D102)),(($E$44*$D102)*((1+$L$45)^($L$10-$E$48)-1)))),MIN(MAX(0,(((INDEX($F$55:$L$55,1,MATCH($L$10,$F$48:$L$48,0))+((E$100-$L$11)*INDEX($F$49:$L$49,1,MATCH($L$10,$F$48:$L$48,0))*(1-$L$13)))*$F$44)*$D102)-($E$44*$D102)),(($E$44*$D102)*((1+$L$45)^($L$10-$E$48)-1)))*($L$46/(1-$L$46))*$J$45))*$L$46)))/($E$44*(1-$D102))</f>
        <v/>
      </c>
      <c r="J102" s="188">
        <f>+(((((INDEX($F$55:$L$55,1,MATCH($L$10,$F$48:$L$48,0))+((F$100-$L$11)*INDEX($F$49:$L$49,1,MATCH($L$10,$F$48:$L$48,0))*(1-$L$13)))*$F$44)*(1-$D102))+MIN(MAX(0,MAX(0,(((INDEX($F$55:$L$55,1,MATCH($L$10,$F$48:$L$48,0))+((F$100-$L$11)*INDEX($F$49:$L$49,1,MATCH($L$10,$F$48:$L$48,0))*(1-$L$13)))*$F$44)*$D102)-($E$44*$D102))-MIN(MAX(0,(((INDEX($F$55:$L$55,1,MATCH($L$10,$F$48:$L$48,0))+((F$100-$L$11)*INDEX($F$49:$L$49,1,MATCH($L$10,$F$48:$L$48,0))*(1-$L$13)))*$F$44)*$D102)-($E$44*$D102)),(($E$44*$D102)*((1+$L$45)^($L$10-$E$48)-1)))),MIN(MAX(0,(((INDEX($F$55:$L$55,1,MATCH($L$10,$F$48:$L$48,0))+((F$100-$L$11)*INDEX($F$49:$L$49,1,MATCH($L$10,$F$48:$L$48,0))*(1-$L$13)))*$F$44)*$D102)-($E$44*$D102)),(($E$44*$D102)*((1+$L$45)^($L$10-$E$48)-1)))*($L$46/(1-$L$46))*$J$45)+(MAX(0,MAX(0,(((INDEX($F$55:$L$55,1,MATCH($L$10,$F$48:$L$48,0))+((F$100-$L$11)*INDEX($F$49:$L$49,1,MATCH($L$10,$F$48:$L$48,0))*(1-$L$13)))*$F$44)*$D102)-($E$44*$D102))-MIN(MAX(0,(((INDEX($F$55:$L$55,1,MATCH($L$10,$F$48:$L$48,0))+((F$100-$L$11)*INDEX($F$49:$L$49,1,MATCH($L$10,$F$48:$L$48,0))*(1-$L$13)))*$F$44)*$D102)-($E$44*$D102)),(($E$44*$D102)*((1+$L$45)^($L$10-$E$48)-1)))-MIN(MAX(0,MAX(0,(((INDEX($F$55:$L$55,1,MATCH($L$10,$F$48:$L$48,0))+((F$100-$L$11)*INDEX($F$49:$L$49,1,MATCH($L$10,$F$48:$L$48,0))*(1-$L$13)))*$F$44)*$D102)-($E$44*$D102))-MIN(MAX(0,(((INDEX($F$55:$L$55,1,MATCH($L$10,$F$48:$L$48,0))+((F$100-$L$11)*INDEX($F$49:$L$49,1,MATCH($L$10,$F$48:$L$48,0))*(1-$L$13)))*$F$44)*$D102)-($E$44*$D102)),(($E$44*$D102)*((1+$L$45)^($L$10-$E$48)-1)))),MIN(MAX(0,(((INDEX($F$55:$L$55,1,MATCH($L$10,$F$48:$L$48,0))+((F$100-$L$11)*INDEX($F$49:$L$49,1,MATCH($L$10,$F$48:$L$48,0))*(1-$L$13)))*$F$44)*$D102)-($E$44*$D102)),(($E$44*$D102)*((1+$L$45)^($L$10-$E$48)-1)))*($L$46/(1-$L$46))*$J$45))*$L$46)))/($E$44*(1-$D102))</f>
        <v/>
      </c>
      <c r="K102" s="188">
        <f>+(((((INDEX($F$55:$L$55,1,MATCH($L$10,$F$48:$L$48,0))+((G$100-$L$11)*INDEX($F$49:$L$49,1,MATCH($L$10,$F$48:$L$48,0))*(1-$L$13)))*$F$44)*(1-$D102))+MIN(MAX(0,MAX(0,(((INDEX($F$55:$L$55,1,MATCH($L$10,$F$48:$L$48,0))+((G$100-$L$11)*INDEX($F$49:$L$49,1,MATCH($L$10,$F$48:$L$48,0))*(1-$L$13)))*$F$44)*$D102)-($E$44*$D102))-MIN(MAX(0,(((INDEX($F$55:$L$55,1,MATCH($L$10,$F$48:$L$48,0))+((G$100-$L$11)*INDEX($F$49:$L$49,1,MATCH($L$10,$F$48:$L$48,0))*(1-$L$13)))*$F$44)*$D102)-($E$44*$D102)),(($E$44*$D102)*((1+$L$45)^($L$10-$E$48)-1)))),MIN(MAX(0,(((INDEX($F$55:$L$55,1,MATCH($L$10,$F$48:$L$48,0))+((G$100-$L$11)*INDEX($F$49:$L$49,1,MATCH($L$10,$F$48:$L$48,0))*(1-$L$13)))*$F$44)*$D102)-($E$44*$D102)),(($E$44*$D102)*((1+$L$45)^($L$10-$E$48)-1)))*($L$46/(1-$L$46))*$J$45)+(MAX(0,MAX(0,(((INDEX($F$55:$L$55,1,MATCH($L$10,$F$48:$L$48,0))+((G$100-$L$11)*INDEX($F$49:$L$49,1,MATCH($L$10,$F$48:$L$48,0))*(1-$L$13)))*$F$44)*$D102)-($E$44*$D102))-MIN(MAX(0,(((INDEX($F$55:$L$55,1,MATCH($L$10,$F$48:$L$48,0))+((G$100-$L$11)*INDEX($F$49:$L$49,1,MATCH($L$10,$F$48:$L$48,0))*(1-$L$13)))*$F$44)*$D102)-($E$44*$D102)),(($E$44*$D102)*((1+$L$45)^($L$10-$E$48)-1)))-MIN(MAX(0,MAX(0,(((INDEX($F$55:$L$55,1,MATCH($L$10,$F$48:$L$48,0))+((G$100-$L$11)*INDEX($F$49:$L$49,1,MATCH($L$10,$F$48:$L$48,0))*(1-$L$13)))*$F$44)*$D102)-($E$44*$D102))-MIN(MAX(0,(((INDEX($F$55:$L$55,1,MATCH($L$10,$F$48:$L$48,0))+((G$100-$L$11)*INDEX($F$49:$L$49,1,MATCH($L$10,$F$48:$L$48,0))*(1-$L$13)))*$F$44)*$D102)-($E$44*$D102)),(($E$44*$D102)*((1+$L$45)^($L$10-$E$48)-1)))),MIN(MAX(0,(((INDEX($F$55:$L$55,1,MATCH($L$10,$F$48:$L$48,0))+((G$100-$L$11)*INDEX($F$49:$L$49,1,MATCH($L$10,$F$48:$L$48,0))*(1-$L$13)))*$F$44)*$D102)-($E$44*$D102)),(($E$44*$D102)*((1+$L$45)^($L$10-$E$48)-1)))*($L$46/(1-$L$46))*$J$45))*$L$46)))/($E$44*(1-$D102))</f>
        <v/>
      </c>
      <c r="L102" s="158" t="n"/>
      <c r="M102" s="158" t="n"/>
      <c r="N102" s="158" t="n"/>
      <c r="O102" s="158" t="n"/>
    </row>
    <row r="103">
      <c r="A103" s="158" t="n"/>
      <c r="B103" s="158" t="n"/>
      <c r="C103" s="158" t="n"/>
      <c r="D103" s="186" t="n">
        <v>0.85</v>
      </c>
      <c r="E103" s="187">
        <f>+(I103)^(1/($L$10-$E$48))-1</f>
        <v/>
      </c>
      <c r="F103" s="189">
        <f>+(J103)^(1/($L$10-$E$48))-1</f>
        <v/>
      </c>
      <c r="G103" s="187">
        <f>+(K103)^(1/($L$10-$E$48))-1</f>
        <v/>
      </c>
      <c r="H103" s="158" t="n"/>
      <c r="I103" s="188">
        <f>+(((((INDEX($F$55:$L$55,1,MATCH($L$10,$F$48:$L$48,0))+((E$100-$L$11)*INDEX($F$49:$L$49,1,MATCH($L$10,$F$48:$L$48,0))*(1-$L$13)))*$F$44)*(1-$D103))+MIN(MAX(0,MAX(0,(((INDEX($F$55:$L$55,1,MATCH($L$10,$F$48:$L$48,0))+((E$100-$L$11)*INDEX($F$49:$L$49,1,MATCH($L$10,$F$48:$L$48,0))*(1-$L$13)))*$F$44)*$D103)-($E$44*$D103))-MIN(MAX(0,(((INDEX($F$55:$L$55,1,MATCH($L$10,$F$48:$L$48,0))+((E$100-$L$11)*INDEX($F$49:$L$49,1,MATCH($L$10,$F$48:$L$48,0))*(1-$L$13)))*$F$44)*$D103)-($E$44*$D103)),(($E$44*$D103)*((1+$L$45)^($L$10-$E$48)-1)))),MIN(MAX(0,(((INDEX($F$55:$L$55,1,MATCH($L$10,$F$48:$L$48,0))+((E$100-$L$11)*INDEX($F$49:$L$49,1,MATCH($L$10,$F$48:$L$48,0))*(1-$L$13)))*$F$44)*$D103)-($E$44*$D103)),(($E$44*$D103)*((1+$L$45)^($L$10-$E$48)-1)))*($L$46/(1-$L$46))*$J$45)+(MAX(0,MAX(0,(((INDEX($F$55:$L$55,1,MATCH($L$10,$F$48:$L$48,0))+((E$100-$L$11)*INDEX($F$49:$L$49,1,MATCH($L$10,$F$48:$L$48,0))*(1-$L$13)))*$F$44)*$D103)-($E$44*$D103))-MIN(MAX(0,(((INDEX($F$55:$L$55,1,MATCH($L$10,$F$48:$L$48,0))+((E$100-$L$11)*INDEX($F$49:$L$49,1,MATCH($L$10,$F$48:$L$48,0))*(1-$L$13)))*$F$44)*$D103)-($E$44*$D103)),(($E$44*$D103)*((1+$L$45)^($L$10-$E$48)-1)))-MIN(MAX(0,MAX(0,(((INDEX($F$55:$L$55,1,MATCH($L$10,$F$48:$L$48,0))+((E$100-$L$11)*INDEX($F$49:$L$49,1,MATCH($L$10,$F$48:$L$48,0))*(1-$L$13)))*$F$44)*$D103)-($E$44*$D103))-MIN(MAX(0,(((INDEX($F$55:$L$55,1,MATCH($L$10,$F$48:$L$48,0))+((E$100-$L$11)*INDEX($F$49:$L$49,1,MATCH($L$10,$F$48:$L$48,0))*(1-$L$13)))*$F$44)*$D103)-($E$44*$D103)),(($E$44*$D103)*((1+$L$45)^($L$10-$E$48)-1)))),MIN(MAX(0,(((INDEX($F$55:$L$55,1,MATCH($L$10,$F$48:$L$48,0))+((E$100-$L$11)*INDEX($F$49:$L$49,1,MATCH($L$10,$F$48:$L$48,0))*(1-$L$13)))*$F$44)*$D103)-($E$44*$D103)),(($E$44*$D103)*((1+$L$45)^($L$10-$E$48)-1)))*($L$46/(1-$L$46))*$J$45))*$L$46)))/($E$44*(1-$D103))</f>
        <v/>
      </c>
      <c r="J103" s="190">
        <f>+(((((INDEX($F$55:$L$55,1,MATCH($L$10,$F$48:$L$48,0))+((F$100-$L$11)*INDEX($F$49:$L$49,1,MATCH($L$10,$F$48:$L$48,0))*(1-$L$13)))*$F$44)*(1-$D103))+MIN(MAX(0,MAX(0,(((INDEX($F$55:$L$55,1,MATCH($L$10,$F$48:$L$48,0))+((F$100-$L$11)*INDEX($F$49:$L$49,1,MATCH($L$10,$F$48:$L$48,0))*(1-$L$13)))*$F$44)*$D103)-($E$44*$D103))-MIN(MAX(0,(((INDEX($F$55:$L$55,1,MATCH($L$10,$F$48:$L$48,0))+((F$100-$L$11)*INDEX($F$49:$L$49,1,MATCH($L$10,$F$48:$L$48,0))*(1-$L$13)))*$F$44)*$D103)-($E$44*$D103)),(($E$44*$D103)*((1+$L$45)^($L$10-$E$48)-1)))),MIN(MAX(0,(((INDEX($F$55:$L$55,1,MATCH($L$10,$F$48:$L$48,0))+((F$100-$L$11)*INDEX($F$49:$L$49,1,MATCH($L$10,$F$48:$L$48,0))*(1-$L$13)))*$F$44)*$D103)-($E$44*$D103)),(($E$44*$D103)*((1+$L$45)^($L$10-$E$48)-1)))*($L$46/(1-$L$46))*$J$45)+(MAX(0,MAX(0,(((INDEX($F$55:$L$55,1,MATCH($L$10,$F$48:$L$48,0))+((F$100-$L$11)*INDEX($F$49:$L$49,1,MATCH($L$10,$F$48:$L$48,0))*(1-$L$13)))*$F$44)*$D103)-($E$44*$D103))-MIN(MAX(0,(((INDEX($F$55:$L$55,1,MATCH($L$10,$F$48:$L$48,0))+((F$100-$L$11)*INDEX($F$49:$L$49,1,MATCH($L$10,$F$48:$L$48,0))*(1-$L$13)))*$F$44)*$D103)-($E$44*$D103)),(($E$44*$D103)*((1+$L$45)^($L$10-$E$48)-1)))-MIN(MAX(0,MAX(0,(((INDEX($F$55:$L$55,1,MATCH($L$10,$F$48:$L$48,0))+((F$100-$L$11)*INDEX($F$49:$L$49,1,MATCH($L$10,$F$48:$L$48,0))*(1-$L$13)))*$F$44)*$D103)-($E$44*$D103))-MIN(MAX(0,(((INDEX($F$55:$L$55,1,MATCH($L$10,$F$48:$L$48,0))+((F$100-$L$11)*INDEX($F$49:$L$49,1,MATCH($L$10,$F$48:$L$48,0))*(1-$L$13)))*$F$44)*$D103)-($E$44*$D103)),(($E$44*$D103)*((1+$L$45)^($L$10-$E$48)-1)))),MIN(MAX(0,(((INDEX($F$55:$L$55,1,MATCH($L$10,$F$48:$L$48,0))+((F$100-$L$11)*INDEX($F$49:$L$49,1,MATCH($L$10,$F$48:$L$48,0))*(1-$L$13)))*$F$44)*$D103)-($E$44*$D103)),(($E$44*$D103)*((1+$L$45)^($L$10-$E$48)-1)))*($L$46/(1-$L$46))*$J$45))*$L$46)))/($E$44*(1-$D103))</f>
        <v/>
      </c>
      <c r="K103" s="188">
        <f>+(((((INDEX($F$55:$L$55,1,MATCH($L$10,$F$48:$L$48,0))+((G$100-$L$11)*INDEX($F$49:$L$49,1,MATCH($L$10,$F$48:$L$48,0))*(1-$L$13)))*$F$44)*(1-$D103))+MIN(MAX(0,MAX(0,(((INDEX($F$55:$L$55,1,MATCH($L$10,$F$48:$L$48,0))+((G$100-$L$11)*INDEX($F$49:$L$49,1,MATCH($L$10,$F$48:$L$48,0))*(1-$L$13)))*$F$44)*$D103)-($E$44*$D103))-MIN(MAX(0,(((INDEX($F$55:$L$55,1,MATCH($L$10,$F$48:$L$48,0))+((G$100-$L$11)*INDEX($F$49:$L$49,1,MATCH($L$10,$F$48:$L$48,0))*(1-$L$13)))*$F$44)*$D103)-($E$44*$D103)),(($E$44*$D103)*((1+$L$45)^($L$10-$E$48)-1)))),MIN(MAX(0,(((INDEX($F$55:$L$55,1,MATCH($L$10,$F$48:$L$48,0))+((G$100-$L$11)*INDEX($F$49:$L$49,1,MATCH($L$10,$F$48:$L$48,0))*(1-$L$13)))*$F$44)*$D103)-($E$44*$D103)),(($E$44*$D103)*((1+$L$45)^($L$10-$E$48)-1)))*($L$46/(1-$L$46))*$J$45)+(MAX(0,MAX(0,(((INDEX($F$55:$L$55,1,MATCH($L$10,$F$48:$L$48,0))+((G$100-$L$11)*INDEX($F$49:$L$49,1,MATCH($L$10,$F$48:$L$48,0))*(1-$L$13)))*$F$44)*$D103)-($E$44*$D103))-MIN(MAX(0,(((INDEX($F$55:$L$55,1,MATCH($L$10,$F$48:$L$48,0))+((G$100-$L$11)*INDEX($F$49:$L$49,1,MATCH($L$10,$F$48:$L$48,0))*(1-$L$13)))*$F$44)*$D103)-($E$44*$D103)),(($E$44*$D103)*((1+$L$45)^($L$10-$E$48)-1)))-MIN(MAX(0,MAX(0,(((INDEX($F$55:$L$55,1,MATCH($L$10,$F$48:$L$48,0))+((G$100-$L$11)*INDEX($F$49:$L$49,1,MATCH($L$10,$F$48:$L$48,0))*(1-$L$13)))*$F$44)*$D103)-($E$44*$D103))-MIN(MAX(0,(((INDEX($F$55:$L$55,1,MATCH($L$10,$F$48:$L$48,0))+((G$100-$L$11)*INDEX($F$49:$L$49,1,MATCH($L$10,$F$48:$L$48,0))*(1-$L$13)))*$F$44)*$D103)-($E$44*$D103)),(($E$44*$D103)*((1+$L$45)^($L$10-$E$48)-1)))),MIN(MAX(0,(((INDEX($F$55:$L$55,1,MATCH($L$10,$F$48:$L$48,0))+((G$100-$L$11)*INDEX($F$49:$L$49,1,MATCH($L$10,$F$48:$L$48,0))*(1-$L$13)))*$F$44)*$D103)-($E$44*$D103)),(($E$44*$D103)*((1+$L$45)^($L$10-$E$48)-1)))*($L$46/(1-$L$46))*$J$45))*$L$46)))/($E$44*(1-$D103))</f>
        <v/>
      </c>
      <c r="L103" s="158" t="n"/>
      <c r="M103" s="158" t="n"/>
      <c r="N103" s="158" t="n"/>
      <c r="O103" s="158" t="n"/>
    </row>
    <row r="104">
      <c r="A104" s="158" t="n"/>
      <c r="B104" s="158" t="n"/>
      <c r="C104" s="158" t="n"/>
      <c r="D104" s="186" t="n">
        <v>0.9</v>
      </c>
      <c r="E104" s="187">
        <f>+(I104)^(1/($L$10-$E$48))-1</f>
        <v/>
      </c>
      <c r="F104" s="187">
        <f>+(J104)^(1/($L$10-$E$48))-1</f>
        <v/>
      </c>
      <c r="G104" s="187">
        <f>+(K104)^(1/($L$10-$E$48))-1</f>
        <v/>
      </c>
      <c r="H104" s="158" t="n"/>
      <c r="I104" s="188">
        <f>+(((((INDEX($F$55:$L$55,1,MATCH($L$10,$F$48:$L$48,0))+((E$100-$L$11)*INDEX($F$49:$L$49,1,MATCH($L$10,$F$48:$L$48,0))*(1-$L$13)))*$F$44)*(1-$D104))+MIN(MAX(0,MAX(0,(((INDEX($F$55:$L$55,1,MATCH($L$10,$F$48:$L$48,0))+((E$100-$L$11)*INDEX($F$49:$L$49,1,MATCH($L$10,$F$48:$L$48,0))*(1-$L$13)))*$F$44)*$D104)-($E$44*$D104))-MIN(MAX(0,(((INDEX($F$55:$L$55,1,MATCH($L$10,$F$48:$L$48,0))+((E$100-$L$11)*INDEX($F$49:$L$49,1,MATCH($L$10,$F$48:$L$48,0))*(1-$L$13)))*$F$44)*$D104)-($E$44*$D104)),(($E$44*$D104)*((1+$L$45)^($L$10-$E$48)-1)))),MIN(MAX(0,(((INDEX($F$55:$L$55,1,MATCH($L$10,$F$48:$L$48,0))+((E$100-$L$11)*INDEX($F$49:$L$49,1,MATCH($L$10,$F$48:$L$48,0))*(1-$L$13)))*$F$44)*$D104)-($E$44*$D104)),(($E$44*$D104)*((1+$L$45)^($L$10-$E$48)-1)))*($L$46/(1-$L$46))*$J$45)+(MAX(0,MAX(0,(((INDEX($F$55:$L$55,1,MATCH($L$10,$F$48:$L$48,0))+((E$100-$L$11)*INDEX($F$49:$L$49,1,MATCH($L$10,$F$48:$L$48,0))*(1-$L$13)))*$F$44)*$D104)-($E$44*$D104))-MIN(MAX(0,(((INDEX($F$55:$L$55,1,MATCH($L$10,$F$48:$L$48,0))+((E$100-$L$11)*INDEX($F$49:$L$49,1,MATCH($L$10,$F$48:$L$48,0))*(1-$L$13)))*$F$44)*$D104)-($E$44*$D104)),(($E$44*$D104)*((1+$L$45)^($L$10-$E$48)-1)))-MIN(MAX(0,MAX(0,(((INDEX($F$55:$L$55,1,MATCH($L$10,$F$48:$L$48,0))+((E$100-$L$11)*INDEX($F$49:$L$49,1,MATCH($L$10,$F$48:$L$48,0))*(1-$L$13)))*$F$44)*$D104)-($E$44*$D104))-MIN(MAX(0,(((INDEX($F$55:$L$55,1,MATCH($L$10,$F$48:$L$48,0))+((E$100-$L$11)*INDEX($F$49:$L$49,1,MATCH($L$10,$F$48:$L$48,0))*(1-$L$13)))*$F$44)*$D104)-($E$44*$D104)),(($E$44*$D104)*((1+$L$45)^($L$10-$E$48)-1)))),MIN(MAX(0,(((INDEX($F$55:$L$55,1,MATCH($L$10,$F$48:$L$48,0))+((E$100-$L$11)*INDEX($F$49:$L$49,1,MATCH($L$10,$F$48:$L$48,0))*(1-$L$13)))*$F$44)*$D104)-($E$44*$D104)),(($E$44*$D104)*((1+$L$45)^($L$10-$E$48)-1)))*($L$46/(1-$L$46))*$J$45))*$L$46)))/($E$44*(1-$D104))</f>
        <v/>
      </c>
      <c r="J104" s="188">
        <f>+(((((INDEX($F$55:$L$55,1,MATCH($L$10,$F$48:$L$48,0))+((F$100-$L$11)*INDEX($F$49:$L$49,1,MATCH($L$10,$F$48:$L$48,0))*(1-$L$13)))*$F$44)*(1-$D104))+MIN(MAX(0,MAX(0,(((INDEX($F$55:$L$55,1,MATCH($L$10,$F$48:$L$48,0))+((F$100-$L$11)*INDEX($F$49:$L$49,1,MATCH($L$10,$F$48:$L$48,0))*(1-$L$13)))*$F$44)*$D104)-($E$44*$D104))-MIN(MAX(0,(((INDEX($F$55:$L$55,1,MATCH($L$10,$F$48:$L$48,0))+((F$100-$L$11)*INDEX($F$49:$L$49,1,MATCH($L$10,$F$48:$L$48,0))*(1-$L$13)))*$F$44)*$D104)-($E$44*$D104)),(($E$44*$D104)*((1+$L$45)^($L$10-$E$48)-1)))),MIN(MAX(0,(((INDEX($F$55:$L$55,1,MATCH($L$10,$F$48:$L$48,0))+((F$100-$L$11)*INDEX($F$49:$L$49,1,MATCH($L$10,$F$48:$L$48,0))*(1-$L$13)))*$F$44)*$D104)-($E$44*$D104)),(($E$44*$D104)*((1+$L$45)^($L$10-$E$48)-1)))*($L$46/(1-$L$46))*$J$45)+(MAX(0,MAX(0,(((INDEX($F$55:$L$55,1,MATCH($L$10,$F$48:$L$48,0))+((F$100-$L$11)*INDEX($F$49:$L$49,1,MATCH($L$10,$F$48:$L$48,0))*(1-$L$13)))*$F$44)*$D104)-($E$44*$D104))-MIN(MAX(0,(((INDEX($F$55:$L$55,1,MATCH($L$10,$F$48:$L$48,0))+((F$100-$L$11)*INDEX($F$49:$L$49,1,MATCH($L$10,$F$48:$L$48,0))*(1-$L$13)))*$F$44)*$D104)-($E$44*$D104)),(($E$44*$D104)*((1+$L$45)^($L$10-$E$48)-1)))-MIN(MAX(0,MAX(0,(((INDEX($F$55:$L$55,1,MATCH($L$10,$F$48:$L$48,0))+((F$100-$L$11)*INDEX($F$49:$L$49,1,MATCH($L$10,$F$48:$L$48,0))*(1-$L$13)))*$F$44)*$D104)-($E$44*$D104))-MIN(MAX(0,(((INDEX($F$55:$L$55,1,MATCH($L$10,$F$48:$L$48,0))+((F$100-$L$11)*INDEX($F$49:$L$49,1,MATCH($L$10,$F$48:$L$48,0))*(1-$L$13)))*$F$44)*$D104)-($E$44*$D104)),(($E$44*$D104)*((1+$L$45)^($L$10-$E$48)-1)))),MIN(MAX(0,(((INDEX($F$55:$L$55,1,MATCH($L$10,$F$48:$L$48,0))+((F$100-$L$11)*INDEX($F$49:$L$49,1,MATCH($L$10,$F$48:$L$48,0))*(1-$L$13)))*$F$44)*$D104)-($E$44*$D104)),(($E$44*$D104)*((1+$L$45)^($L$10-$E$48)-1)))*($L$46/(1-$L$46))*$J$45))*$L$46)))/($E$44*(1-$D104))</f>
        <v/>
      </c>
      <c r="K104" s="188">
        <f>+(((((INDEX($F$55:$L$55,1,MATCH($L$10,$F$48:$L$48,0))+((G$100-$L$11)*INDEX($F$49:$L$49,1,MATCH($L$10,$F$48:$L$48,0))*(1-$L$13)))*$F$44)*(1-$D104))+MIN(MAX(0,MAX(0,(((INDEX($F$55:$L$55,1,MATCH($L$10,$F$48:$L$48,0))+((G$100-$L$11)*INDEX($F$49:$L$49,1,MATCH($L$10,$F$48:$L$48,0))*(1-$L$13)))*$F$44)*$D104)-($E$44*$D104))-MIN(MAX(0,(((INDEX($F$55:$L$55,1,MATCH($L$10,$F$48:$L$48,0))+((G$100-$L$11)*INDEX($F$49:$L$49,1,MATCH($L$10,$F$48:$L$48,0))*(1-$L$13)))*$F$44)*$D104)-($E$44*$D104)),(($E$44*$D104)*((1+$L$45)^($L$10-$E$48)-1)))),MIN(MAX(0,(((INDEX($F$55:$L$55,1,MATCH($L$10,$F$48:$L$48,0))+((G$100-$L$11)*INDEX($F$49:$L$49,1,MATCH($L$10,$F$48:$L$48,0))*(1-$L$13)))*$F$44)*$D104)-($E$44*$D104)),(($E$44*$D104)*((1+$L$45)^($L$10-$E$48)-1)))*($L$46/(1-$L$46))*$J$45)+(MAX(0,MAX(0,(((INDEX($F$55:$L$55,1,MATCH($L$10,$F$48:$L$48,0))+((G$100-$L$11)*INDEX($F$49:$L$49,1,MATCH($L$10,$F$48:$L$48,0))*(1-$L$13)))*$F$44)*$D104)-($E$44*$D104))-MIN(MAX(0,(((INDEX($F$55:$L$55,1,MATCH($L$10,$F$48:$L$48,0))+((G$100-$L$11)*INDEX($F$49:$L$49,1,MATCH($L$10,$F$48:$L$48,0))*(1-$L$13)))*$F$44)*$D104)-($E$44*$D104)),(($E$44*$D104)*((1+$L$45)^($L$10-$E$48)-1)))-MIN(MAX(0,MAX(0,(((INDEX($F$55:$L$55,1,MATCH($L$10,$F$48:$L$48,0))+((G$100-$L$11)*INDEX($F$49:$L$49,1,MATCH($L$10,$F$48:$L$48,0))*(1-$L$13)))*$F$44)*$D104)-($E$44*$D104))-MIN(MAX(0,(((INDEX($F$55:$L$55,1,MATCH($L$10,$F$48:$L$48,0))+((G$100-$L$11)*INDEX($F$49:$L$49,1,MATCH($L$10,$F$48:$L$48,0))*(1-$L$13)))*$F$44)*$D104)-($E$44*$D104)),(($E$44*$D104)*((1+$L$45)^($L$10-$E$48)-1)))),MIN(MAX(0,(((INDEX($F$55:$L$55,1,MATCH($L$10,$F$48:$L$48,0))+((G$100-$L$11)*INDEX($F$49:$L$49,1,MATCH($L$10,$F$48:$L$48,0))*(1-$L$13)))*$F$44)*$D104)-($E$44*$D104)),(($E$44*$D104)*((1+$L$45)^($L$10-$E$48)-1)))*($L$46/(1-$L$46))*$J$45))*$L$46)))/($E$44*(1-$D104))</f>
        <v/>
      </c>
      <c r="L104" s="158" t="n"/>
      <c r="M104" s="158" t="n"/>
      <c r="N104" s="158" t="n"/>
      <c r="O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</row>
    <row r="106">
      <c r="A106" s="158" t="n"/>
      <c r="B106" s="158" t="n"/>
      <c r="C106" s="158" t="n"/>
      <c r="D106" s="183" t="inlineStr">
        <is>
          <t>Offer Premium \ Total Debt xEBITDA (Gross Pool IRR)</t>
        </is>
      </c>
      <c r="E106" s="184" t="n">
        <v>7</v>
      </c>
      <c r="F106" s="184">
        <f>+$G$30</f>
        <v/>
      </c>
      <c r="G106" s="184" t="n">
        <v>9</v>
      </c>
      <c r="H106" s="158" t="n"/>
      <c r="I106" s="191">
        <f>+E106</f>
        <v/>
      </c>
      <c r="J106" s="191">
        <f>+F106</f>
        <v/>
      </c>
      <c r="K106" s="191">
        <f>+G106</f>
        <v/>
      </c>
      <c r="L106" s="158" t="n"/>
      <c r="M106" s="158" t="n"/>
      <c r="N106" s="158" t="n"/>
      <c r="O106" s="158" t="n"/>
    </row>
    <row r="107">
      <c r="A107" s="158" t="n"/>
      <c r="B107" s="158" t="n"/>
      <c r="C107" s="158" t="n"/>
      <c r="D107" s="186" t="n">
        <v>0.08</v>
      </c>
      <c r="E107" s="187">
        <f>+(I107)^(1/($L$10-$E$48))-1</f>
        <v/>
      </c>
      <c r="F107" s="187">
        <f>+(J107)^(1/($L$10-$E$48))-1</f>
        <v/>
      </c>
      <c r="G107" s="187">
        <f>+(K107)^(1/($L$10-$E$48))-1</f>
        <v/>
      </c>
      <c r="H107" s="158" t="n"/>
      <c r="I107" s="188">
        <f>+(((INDEX($F$55:$L$55,1,MATCH($L$10,$F$48:$L$48,0))+((((($F$9*(1+$D107)*$F$12)-$F$19)/$F$7)-$L$11)*INDEX($F$49:$L$49,1,MATCH($L$10,$F$48:$L$48,0))*(1-$L$13))-((E$106-$G$30)*$F$7*(1+($L$10-$E$48)*'Debt &amp; Covenants'!$E$7*(1-0.22)))))*(((($F$9*(1+$D107)*$F$12)*$F$15)*(1+$L$12)+$I$30-(E$106*$F$7)-$F$20)/(((($F$9*(1+$D107)*$F$12)*$F$15)*(1+$L$12)+$I$30-(E$106*$F$7)-$F$20)+(($F$9*(1+$D107)*$F$12)*$F$14))))/((($F$9*(1+$D107)*$F$12)*$F$15)*(1+$L$12)+$I$30-(E$106*$F$7)-$F$20)</f>
        <v/>
      </c>
      <c r="J107" s="188">
        <f>+(((INDEX($F$55:$L$55,1,MATCH($L$10,$F$48:$L$48,0))+((((($F$9*(1+$D107)*$F$12)-$F$19)/$F$7)-$L$11)*INDEX($F$49:$L$49,1,MATCH($L$10,$F$48:$L$48,0))*(1-$L$13))-((F$106-$G$30)*$F$7*(1+($L$10-$E$48)*'Debt &amp; Covenants'!$E$7*(1-0.22)))))*(((($F$9*(1+$D107)*$F$12)*$F$15)*(1+$L$12)+$I$30-(F$106*$F$7)-$F$20)/(((($F$9*(1+$D107)*$F$12)*$F$15)*(1+$L$12)+$I$30-(F$106*$F$7)-$F$20)+(($F$9*(1+$D107)*$F$12)*$F$14))))/((($F$9*(1+$D107)*$F$12)*$F$15)*(1+$L$12)+$I$30-(F$106*$F$7)-$F$20)</f>
        <v/>
      </c>
      <c r="K107" s="188">
        <f>+(((INDEX($F$55:$L$55,1,MATCH($L$10,$F$48:$L$48,0))+((((($F$9*(1+$D107)*$F$12)-$F$19)/$F$7)-$L$11)*INDEX($F$49:$L$49,1,MATCH($L$10,$F$48:$L$48,0))*(1-$L$13))-((G$106-$G$30)*$F$7*(1+($L$10-$E$48)*'Debt &amp; Covenants'!$E$7*(1-0.22)))))*(((($F$9*(1+$D107)*$F$12)*$F$15)*(1+$L$12)+$I$30-(G$106*$F$7)-$F$20)/(((($F$9*(1+$D107)*$F$12)*$F$15)*(1+$L$12)+$I$30-(G$106*$F$7)-$F$20)+(($F$9*(1+$D107)*$F$12)*$F$14))))/((($F$9*(1+$D107)*$F$12)*$F$15)*(1+$L$12)+$I$30-(G$106*$F$7)-$F$20)</f>
        <v/>
      </c>
      <c r="L107" s="158" t="n"/>
      <c r="M107" s="158" t="n"/>
      <c r="N107" s="158" t="n"/>
      <c r="O107" s="158" t="n"/>
    </row>
    <row r="108">
      <c r="A108" s="158" t="n"/>
      <c r="B108" s="158" t="n"/>
      <c r="C108" s="158" t="n"/>
      <c r="D108" s="186" t="n">
        <v>0.12</v>
      </c>
      <c r="E108" s="187">
        <f>+(I108)^(1/($L$10-$E$48))-1</f>
        <v/>
      </c>
      <c r="F108" s="192">
        <f>+(J108)^(1/($L$10-$E$48))-1</f>
        <v/>
      </c>
      <c r="G108" s="187">
        <f>+(K108)^(1/($L$10-$E$48))-1</f>
        <v/>
      </c>
      <c r="H108" s="158" t="n"/>
      <c r="I108" s="188">
        <f>+(((INDEX($F$55:$L$55,1,MATCH($L$10,$F$48:$L$48,0))+((((($F$9*(1+$D108)*$F$12)-$F$19)/$F$7)-$L$11)*INDEX($F$49:$L$49,1,MATCH($L$10,$F$48:$L$48,0))*(1-$L$13))-((E$106-$G$30)*$F$7*(1+($L$10-$E$48)*'Debt &amp; Covenants'!$E$7*(1-0.22)))))*(((($F$9*(1+$D108)*$F$12)*$F$15)*(1+$L$12)+$I$30-(E$106*$F$7)-$F$20)/(((($F$9*(1+$D108)*$F$12)*$F$15)*(1+$L$12)+$I$30-(E$106*$F$7)-$F$20)+(($F$9*(1+$D108)*$F$12)*$F$14))))/((($F$9*(1+$D108)*$F$12)*$F$15)*(1+$L$12)+$I$30-(E$106*$F$7)-$F$20)</f>
        <v/>
      </c>
      <c r="J108" s="193">
        <f>+(((INDEX($F$55:$L$55,1,MATCH($L$10,$F$48:$L$48,0))+((((($F$9*(1+$D108)*$F$12)-$F$19)/$F$7)-$L$11)*INDEX($F$49:$L$49,1,MATCH($L$10,$F$48:$L$48,0))*(1-$L$13))-((F$106-$G$30)*$F$7*(1+($L$10-$E$48)*'Debt &amp; Covenants'!$E$7*(1-0.22)))))*(((($F$9*(1+$D108)*$F$12)*$F$15)*(1+$L$12)+$I$30-(F$106*$F$7)-$F$20)/(((($F$9*(1+$D108)*$F$12)*$F$15)*(1+$L$12)+$I$30-(F$106*$F$7)-$F$20)+(($F$9*(1+$D108)*$F$12)*$F$14))))/((($F$9*(1+$D108)*$F$12)*$F$15)*(1+$L$12)+$I$30-(F$106*$F$7)-$F$20)</f>
        <v/>
      </c>
      <c r="K108" s="188">
        <f>+(((INDEX($F$55:$L$55,1,MATCH($L$10,$F$48:$L$48,0))+((((($F$9*(1+$D108)*$F$12)-$F$19)/$F$7)-$L$11)*INDEX($F$49:$L$49,1,MATCH($L$10,$F$48:$L$48,0))*(1-$L$13))-((G$106-$G$30)*$F$7*(1+($L$10-$E$48)*'Debt &amp; Covenants'!$E$7*(1-0.22)))))*(((($F$9*(1+$D108)*$F$12)*$F$15)*(1+$L$12)+$I$30-(G$106*$F$7)-$F$20)/(((($F$9*(1+$D108)*$F$12)*$F$15)*(1+$L$12)+$I$30-(G$106*$F$7)-$F$20)+(($F$9*(1+$D108)*$F$12)*$F$14))))/((($F$9*(1+$D108)*$F$12)*$F$15)*(1+$L$12)+$I$30-(G$106*$F$7)-$F$20)</f>
        <v/>
      </c>
      <c r="L108" s="158" t="n"/>
      <c r="M108" s="158" t="n"/>
      <c r="N108" s="158" t="n"/>
      <c r="O108" s="158" t="n"/>
    </row>
    <row r="109">
      <c r="A109" s="158" t="n"/>
      <c r="B109" s="158" t="n"/>
      <c r="C109" s="158" t="n"/>
      <c r="D109" s="186" t="n">
        <v>0.16</v>
      </c>
      <c r="E109" s="187">
        <f>+(I109)^(1/($L$10-$E$48))-1</f>
        <v/>
      </c>
      <c r="F109" s="187">
        <f>+(J109)^(1/($L$10-$E$48))-1</f>
        <v/>
      </c>
      <c r="G109" s="187">
        <f>+(K109)^(1/($L$10-$E$48))-1</f>
        <v/>
      </c>
      <c r="H109" s="158" t="n"/>
      <c r="I109" s="188">
        <f>+(((INDEX($F$55:$L$55,1,MATCH($L$10,$F$48:$L$48,0))+((((($F$9*(1+$D109)*$F$12)-$F$19)/$F$7)-$L$11)*INDEX($F$49:$L$49,1,MATCH($L$10,$F$48:$L$48,0))*(1-$L$13))-((E$106-$G$30)*$F$7*(1+($L$10-$E$48)*'Debt &amp; Covenants'!$E$7*(1-0.22)))))*(((($F$9*(1+$D109)*$F$12)*$F$15)*(1+$L$12)+$I$30-(E$106*$F$7)-$F$20)/(((($F$9*(1+$D109)*$F$12)*$F$15)*(1+$L$12)+$I$30-(E$106*$F$7)-$F$20)+(($F$9*(1+$D109)*$F$12)*$F$14))))/((($F$9*(1+$D109)*$F$12)*$F$15)*(1+$L$12)+$I$30-(E$106*$F$7)-$F$20)</f>
        <v/>
      </c>
      <c r="J109" s="188">
        <f>+(((INDEX($F$55:$L$55,1,MATCH($L$10,$F$48:$L$48,0))+((((($F$9*(1+$D109)*$F$12)-$F$19)/$F$7)-$L$11)*INDEX($F$49:$L$49,1,MATCH($L$10,$F$48:$L$48,0))*(1-$L$13))-((F$106-$G$30)*$F$7*(1+($L$10-$E$48)*'Debt &amp; Covenants'!$E$7*(1-0.22)))))*(((($F$9*(1+$D109)*$F$12)*$F$15)*(1+$L$12)+$I$30-(F$106*$F$7)-$F$20)/(((($F$9*(1+$D109)*$F$12)*$F$15)*(1+$L$12)+$I$30-(F$106*$F$7)-$F$20)+(($F$9*(1+$D109)*$F$12)*$F$14))))/((($F$9*(1+$D109)*$F$12)*$F$15)*(1+$L$12)+$I$30-(F$106*$F$7)-$F$20)</f>
        <v/>
      </c>
      <c r="K109" s="188">
        <f>+(((INDEX($F$55:$L$55,1,MATCH($L$10,$F$48:$L$48,0))+((((($F$9*(1+$D109)*$F$12)-$F$19)/$F$7)-$L$11)*INDEX($F$49:$L$49,1,MATCH($L$10,$F$48:$L$48,0))*(1-$L$13))-((G$106-$G$30)*$F$7*(1+($L$10-$E$48)*'Debt &amp; Covenants'!$E$7*(1-0.22)))))*(((($F$9*(1+$D109)*$F$12)*$F$15)*(1+$L$12)+$I$30-(G$106*$F$7)-$F$20)/(((($F$9*(1+$D109)*$F$12)*$F$15)*(1+$L$12)+$I$30-(G$106*$F$7)-$F$20)+(($F$9*(1+$D109)*$F$12)*$F$14))))/((($F$9*(1+$D109)*$F$12)*$F$15)*(1+$L$12)+$I$30-(G$106*$F$7)-$F$20)</f>
        <v/>
      </c>
      <c r="L109" s="158" t="n"/>
      <c r="M109" s="158" t="n"/>
      <c r="N109" s="158" t="n"/>
      <c r="O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</row>
  </sheetData>
  <mergeCells count="25">
    <mergeCell ref="H35:I35"/>
    <mergeCell ref="H13:K13"/>
    <mergeCell ref="H43:I43"/>
    <mergeCell ref="H12:K12"/>
    <mergeCell ref="H17:J17"/>
    <mergeCell ref="H15:K15"/>
    <mergeCell ref="H44:I44"/>
    <mergeCell ref="H18:K18"/>
    <mergeCell ref="H34:I34"/>
    <mergeCell ref="H14:K14"/>
    <mergeCell ref="H8:K8"/>
    <mergeCell ref="H46:I46"/>
    <mergeCell ref="H36:I36"/>
    <mergeCell ref="H10:K10"/>
    <mergeCell ref="H9:K9"/>
    <mergeCell ref="H45:I45"/>
    <mergeCell ref="H37:I37"/>
    <mergeCell ref="H20:J20"/>
    <mergeCell ref="H42:I42"/>
    <mergeCell ref="H11:K11"/>
    <mergeCell ref="H33:I33"/>
    <mergeCell ref="H16:K16"/>
    <mergeCell ref="H7:K7"/>
    <mergeCell ref="H21:J21"/>
    <mergeCell ref="H19:K19"/>
  </mergeCells>
  <dataValidations disablePrompts="1" count="1">
    <dataValidation sqref="L10" showDropDown="0" showInputMessage="0" showErrorMessage="0" allowBlank="0" type="list">
      <formula1>"2026,2027,2028,2029,2030,2031,2032"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9"/>
  <sheetViews>
    <sheetView showGridLines="0" topLeftCell="A13" workbookViewId="0">
      <selection activeCell="O44" sqref="O44"/>
    </sheetView>
  </sheetViews>
  <sheetFormatPr baseColWidth="10" defaultColWidth="9.140625" defaultRowHeight="10.2"/>
  <cols>
    <col width="2.85546875" customWidth="1" style="114" min="1" max="1"/>
    <col width="3.42578125" customWidth="1" style="114" min="2" max="2"/>
    <col width="4.42578125" customWidth="1" style="114" min="3" max="3"/>
    <col width="44" customWidth="1" style="114" min="4" max="4"/>
    <col width="9.42578125" customWidth="1" style="114" min="5" max="7"/>
    <col width="10.42578125" customWidth="1" style="114" min="8" max="8"/>
    <col width="11" customWidth="1" style="114" min="9" max="19"/>
    <col width="10.42578125" customWidth="1" style="114" min="20" max="21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Active Case — 100% Inditex Consolidated Operating Model (2022A–2032E), Pre-IFRS 16 Bridge, Negative NOF &amp; Capex Split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</row>
    <row r="4" ht="16.05" customHeight="1" s="114">
      <c r="A4" s="12" t="inlineStr">
        <is>
          <t>&gt;</t>
        </is>
      </c>
      <c r="B4" s="12" t="inlineStr">
        <is>
          <t>&gt;</t>
        </is>
      </c>
      <c r="C4" s="13" t="inlineStr">
        <is>
          <t>1. Operating Scenario Drivers &amp; Presets (100% Inditex Consolidated — Zero Minority Leakage)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</row>
    <row r="6" ht="13.95" customHeight="1" s="114">
      <c r="C6" s="14" t="inlineStr">
        <is>
          <t>Drivers</t>
        </is>
      </c>
      <c r="D6" s="14" t="n"/>
      <c r="E6" s="69" t="inlineStr">
        <is>
          <t>1</t>
        </is>
      </c>
      <c r="F6" s="69" t="inlineStr">
        <is>
          <t>2</t>
        </is>
      </c>
      <c r="G6" s="69" t="inlineStr">
        <is>
          <t>3</t>
        </is>
      </c>
      <c r="H6" s="69" t="inlineStr">
        <is>
          <t>Active:</t>
        </is>
      </c>
      <c r="I6" s="69" t="inlineStr">
        <is>
          <t>31-Jan</t>
        </is>
      </c>
      <c r="J6" s="69" t="inlineStr">
        <is>
          <t>31-Jan</t>
        </is>
      </c>
      <c r="K6" s="69" t="inlineStr">
        <is>
          <t>31-Jan</t>
        </is>
      </c>
      <c r="L6" s="69" t="inlineStr">
        <is>
          <t>31-Jan</t>
        </is>
      </c>
      <c r="M6" s="69" t="inlineStr">
        <is>
          <t>31-Jan</t>
        </is>
      </c>
      <c r="N6" s="69" t="inlineStr">
        <is>
          <t>31-Jan</t>
        </is>
      </c>
      <c r="O6" s="69" t="inlineStr">
        <is>
          <t>31-Jan</t>
        </is>
      </c>
      <c r="P6" s="69" t="inlineStr">
        <is>
          <t>31-Jan</t>
        </is>
      </c>
      <c r="Q6" s="69" t="inlineStr">
        <is>
          <t>31-Jan</t>
        </is>
      </c>
      <c r="R6" s="69" t="inlineStr">
        <is>
          <t>31-Jan</t>
        </is>
      </c>
      <c r="S6" s="69" t="inlineStr">
        <is>
          <t>31-Jan</t>
        </is>
      </c>
      <c r="T6" s="14" t="n"/>
      <c r="U6" s="14" t="n"/>
    </row>
    <row r="7" ht="13.95" customHeight="1" s="114">
      <c r="C7" s="14" t="inlineStr">
        <is>
          <t>€m</t>
        </is>
      </c>
      <c r="D7" s="14" t="inlineStr">
        <is>
          <t>100% Inditex Consolidated Line Item</t>
        </is>
      </c>
      <c r="E7" s="69" t="inlineStr">
        <is>
          <t>Base</t>
        </is>
      </c>
      <c r="F7" s="69" t="inlineStr">
        <is>
          <t>Bull</t>
        </is>
      </c>
      <c r="G7" s="69" t="inlineStr">
        <is>
          <t>Bear</t>
        </is>
      </c>
      <c r="H7" s="69">
        <f>CHOOSE($F$8,E7,F7,G7)</f>
        <v/>
      </c>
      <c r="I7" s="153" t="n">
        <v>2022</v>
      </c>
      <c r="J7" s="153">
        <f>+I7+1</f>
        <v/>
      </c>
      <c r="K7" s="153">
        <f>+J7+1</f>
        <v/>
      </c>
      <c r="L7" s="153">
        <f>+K7+1</f>
        <v/>
      </c>
      <c r="M7" s="154">
        <f>+L7+1</f>
        <v/>
      </c>
      <c r="N7" s="154">
        <f>+M7+1</f>
        <v/>
      </c>
      <c r="O7" s="154">
        <f>+N7+1</f>
        <v/>
      </c>
      <c r="P7" s="154">
        <f>+O7+1</f>
        <v/>
      </c>
      <c r="Q7" s="154">
        <f>+P7+1</f>
        <v/>
      </c>
      <c r="R7" s="154">
        <f>+Q7+1</f>
        <v/>
      </c>
      <c r="S7" s="154">
        <f>+R7+1</f>
        <v/>
      </c>
      <c r="T7" s="14" t="n"/>
      <c r="U7" s="14" t="n"/>
    </row>
    <row r="8">
      <c r="B8" s="9" t="n">
        <v>1</v>
      </c>
      <c r="D8" s="54" t="inlineStr">
        <is>
          <t>Active Scenario Selector (1=Base, 2=Bull, 3=Bear)</t>
        </is>
      </c>
      <c r="E8" s="70" t="inlineStr">
        <is>
          <t>Select -&gt;</t>
        </is>
      </c>
      <c r="F8" s="71" t="n">
        <v>1</v>
      </c>
      <c r="G8" s="54" t="n"/>
      <c r="H8" s="72">
        <f>CHOOSE($F$8,E7,F7,G7)</f>
        <v/>
      </c>
    </row>
    <row r="9">
      <c r="D9" s="113" t="inlineStr">
        <is>
          <t>Revenue growth (% YoY)</t>
        </is>
      </c>
      <c r="E9" s="194" t="n">
        <v>0.055</v>
      </c>
      <c r="F9" s="194" t="n">
        <v>0.08</v>
      </c>
      <c r="G9" s="194" t="n">
        <v>0.0225</v>
      </c>
      <c r="H9" s="195">
        <f>CHOOSE($F$8,E9,F9,G9)</f>
        <v/>
      </c>
      <c r="I9" s="194" t="n">
        <v>0.175</v>
      </c>
      <c r="J9" s="194" t="n">
        <v>0.104</v>
      </c>
      <c r="K9" s="194" t="n">
        <v>0.075</v>
      </c>
      <c r="L9" s="194" t="n">
        <v>0.032</v>
      </c>
      <c r="M9" s="196">
        <f>+$H9</f>
        <v/>
      </c>
      <c r="N9" s="196">
        <f>+$H9</f>
        <v/>
      </c>
      <c r="O9" s="196">
        <f>+$H9</f>
        <v/>
      </c>
      <c r="P9" s="196">
        <f>+$H9</f>
        <v/>
      </c>
      <c r="Q9" s="196">
        <f>+$H9</f>
        <v/>
      </c>
      <c r="R9" s="196">
        <f>+$H9</f>
        <v/>
      </c>
      <c r="S9" s="196">
        <f>+$H9</f>
        <v/>
      </c>
    </row>
    <row r="10">
      <c r="D10" s="113" t="inlineStr">
        <is>
          <t>Gross margin (% of revenues)</t>
        </is>
      </c>
      <c r="E10" s="194" t="n">
        <v>0.582</v>
      </c>
      <c r="F10" s="194" t="n">
        <v>0.59</v>
      </c>
      <c r="G10" s="194" t="n">
        <v>0.57</v>
      </c>
      <c r="H10" s="195">
        <f>CHOOSE($F$8,E10,F10,G10)</f>
        <v/>
      </c>
      <c r="I10" s="197">
        <f>+I23/I$21</f>
        <v/>
      </c>
      <c r="J10" s="197">
        <f>+J23/J$21</f>
        <v/>
      </c>
      <c r="K10" s="197">
        <f>+K23/K$21</f>
        <v/>
      </c>
      <c r="L10" s="197">
        <f>+L23/L$21</f>
        <v/>
      </c>
      <c r="M10" s="196">
        <f>+$H10</f>
        <v/>
      </c>
      <c r="N10" s="196">
        <f>+$H10</f>
        <v/>
      </c>
      <c r="O10" s="196">
        <f>+$H10</f>
        <v/>
      </c>
      <c r="P10" s="196">
        <f>+$H10</f>
        <v/>
      </c>
      <c r="Q10" s="196">
        <f>+$H10</f>
        <v/>
      </c>
      <c r="R10" s="196">
        <f>+$H10</f>
        <v/>
      </c>
      <c r="S10" s="196">
        <f>+$H10</f>
        <v/>
      </c>
    </row>
    <row r="11">
      <c r="D11" s="113" t="inlineStr">
        <is>
          <t>OpEx growth (% YoY)</t>
        </is>
      </c>
      <c r="E11" s="194" t="n">
        <v>0.0425</v>
      </c>
      <c r="F11" s="194" t="n">
        <v>0.055</v>
      </c>
      <c r="G11" s="194" t="n">
        <v>0.0325</v>
      </c>
      <c r="H11" s="195">
        <f>CHOOSE($F$8,E11,F11,G11)</f>
        <v/>
      </c>
      <c r="I11" s="194" t="n">
        <v>0.109</v>
      </c>
      <c r="J11" s="194" t="n">
        <v>0.1</v>
      </c>
      <c r="K11" s="194" t="n">
        <v>0.065</v>
      </c>
      <c r="L11" s="194" t="n">
        <v>0.028</v>
      </c>
      <c r="M11" s="196">
        <f>+$H11</f>
        <v/>
      </c>
      <c r="N11" s="196">
        <f>+$H11</f>
        <v/>
      </c>
      <c r="O11" s="196">
        <f>+$H11</f>
        <v/>
      </c>
      <c r="P11" s="196">
        <f>+$H11</f>
        <v/>
      </c>
      <c r="Q11" s="196">
        <f>+$H11</f>
        <v/>
      </c>
      <c r="R11" s="196">
        <f>+$H11</f>
        <v/>
      </c>
      <c r="S11" s="196">
        <f>+$H11</f>
        <v/>
      </c>
    </row>
    <row r="12">
      <c r="D12" s="113" t="inlineStr">
        <is>
          <t>Fixed lease cash outflow growth (%)</t>
        </is>
      </c>
      <c r="E12" s="194" t="n">
        <v>0.02</v>
      </c>
      <c r="F12" s="194" t="n">
        <v>0.03</v>
      </c>
      <c r="G12" s="194" t="n">
        <v>0.01</v>
      </c>
      <c r="H12" s="195">
        <f>CHOOSE($F$8,E12,F12,G12)</f>
        <v/>
      </c>
      <c r="I12" s="194" t="n">
        <v>0.05</v>
      </c>
      <c r="J12" s="197">
        <f>+J28/I28-1</f>
        <v/>
      </c>
      <c r="K12" s="197">
        <f>+K28/J28-1</f>
        <v/>
      </c>
      <c r="L12" s="197">
        <f>+L28/K28-1</f>
        <v/>
      </c>
      <c r="M12" s="196">
        <f>+$H12</f>
        <v/>
      </c>
      <c r="N12" s="196">
        <f>+$H12</f>
        <v/>
      </c>
      <c r="O12" s="196">
        <f>+$H12</f>
        <v/>
      </c>
      <c r="P12" s="196">
        <f>+$H12</f>
        <v/>
      </c>
      <c r="Q12" s="196">
        <f>+$H12</f>
        <v/>
      </c>
      <c r="R12" s="196">
        <f>+$H12</f>
        <v/>
      </c>
      <c r="S12" s="196">
        <f>+$H12</f>
        <v/>
      </c>
    </row>
    <row r="13">
      <c r="D13" s="113" t="inlineStr">
        <is>
          <t>Maintenance Capex (% of revenues)</t>
        </is>
      </c>
      <c r="E13" s="194" t="n">
        <v>0.035</v>
      </c>
      <c r="F13" s="194" t="n">
        <v>0.035</v>
      </c>
      <c r="G13" s="194" t="n">
        <v>0.034</v>
      </c>
      <c r="H13" s="195">
        <f>CHOOSE($F$8,E13,F13,G13)</f>
        <v/>
      </c>
      <c r="I13" s="197">
        <f>+I52/I$21</f>
        <v/>
      </c>
      <c r="J13" s="197">
        <f>+J52/J$21</f>
        <v/>
      </c>
      <c r="K13" s="197">
        <f>+K52/K$21</f>
        <v/>
      </c>
      <c r="L13" s="197">
        <f>+L52/L$21</f>
        <v/>
      </c>
      <c r="M13" s="196">
        <f>+$H13</f>
        <v/>
      </c>
      <c r="N13" s="196">
        <f>+$H13</f>
        <v/>
      </c>
      <c r="O13" s="196">
        <f>+$H13</f>
        <v/>
      </c>
      <c r="P13" s="196">
        <f>+$H13</f>
        <v/>
      </c>
      <c r="Q13" s="196">
        <f>+$H13</f>
        <v/>
      </c>
      <c r="R13" s="196">
        <f>+$H13</f>
        <v/>
      </c>
      <c r="S13" s="196">
        <f>+$H13</f>
        <v/>
      </c>
    </row>
    <row r="14">
      <c r="D14" s="113" t="inlineStr">
        <is>
          <t>Expansion Capex: US Rollout &amp; Logistics (%)</t>
        </is>
      </c>
      <c r="E14" s="194" t="n">
        <v>0.017</v>
      </c>
      <c r="F14" s="194" t="n">
        <v>0.02</v>
      </c>
      <c r="G14" s="194" t="n">
        <v>0.012</v>
      </c>
      <c r="H14" s="195">
        <f>CHOOSE($F$8,E14,F14,G14)</f>
        <v/>
      </c>
      <c r="I14" s="197">
        <f>+I53/I$21</f>
        <v/>
      </c>
      <c r="J14" s="197">
        <f>+J53/J$21</f>
        <v/>
      </c>
      <c r="K14" s="197">
        <f>+K53/K$21</f>
        <v/>
      </c>
      <c r="L14" s="197">
        <f>+L53/L$21</f>
        <v/>
      </c>
      <c r="M14" s="196">
        <f>+$H14</f>
        <v/>
      </c>
      <c r="N14" s="196">
        <f>+$H14</f>
        <v/>
      </c>
      <c r="O14" s="196">
        <f>+$H14</f>
        <v/>
      </c>
      <c r="P14" s="196">
        <f>+$H14</f>
        <v/>
      </c>
      <c r="Q14" s="196">
        <f>+$H14</f>
        <v/>
      </c>
      <c r="R14" s="196">
        <f>+$H14</f>
        <v/>
      </c>
      <c r="S14" s="196">
        <f>+$H14</f>
        <v/>
      </c>
    </row>
    <row r="15">
      <c r="D15" s="113" t="inlineStr">
        <is>
          <t>Inventory (% of revenues)</t>
        </is>
      </c>
      <c r="E15" s="194" t="n">
        <v>0.0815</v>
      </c>
      <c r="F15" s="194" t="n">
        <v>0.079</v>
      </c>
      <c r="G15" s="194" t="n">
        <v>0.08500000000000001</v>
      </c>
      <c r="H15" s="195">
        <f>CHOOSE($F$8,E15,F15,G15)</f>
        <v/>
      </c>
      <c r="I15" s="197">
        <f>+I39/I$21</f>
        <v/>
      </c>
      <c r="J15" s="197">
        <f>+J39/J$21</f>
        <v/>
      </c>
      <c r="K15" s="197">
        <f>+K39/K$21</f>
        <v/>
      </c>
      <c r="L15" s="197">
        <f>+L39/L$21</f>
        <v/>
      </c>
      <c r="M15" s="196">
        <f>+$H15</f>
        <v/>
      </c>
      <c r="N15" s="196">
        <f>+$H15</f>
        <v/>
      </c>
      <c r="O15" s="196">
        <f>+$H15</f>
        <v/>
      </c>
      <c r="P15" s="196">
        <f>+$H15</f>
        <v/>
      </c>
      <c r="Q15" s="196">
        <f>+$H15</f>
        <v/>
      </c>
      <c r="R15" s="196">
        <f>+$H15</f>
        <v/>
      </c>
      <c r="S15" s="196">
        <f>+$H15</f>
        <v/>
      </c>
    </row>
    <row r="16">
      <c r="D16" s="113" t="inlineStr">
        <is>
          <t>Receivables (% of revenues)</t>
        </is>
      </c>
      <c r="E16" s="194" t="n">
        <v>0.0292</v>
      </c>
      <c r="F16" s="194" t="n">
        <v>0.0285</v>
      </c>
      <c r="G16" s="194" t="n">
        <v>0.03</v>
      </c>
      <c r="H16" s="195">
        <f>CHOOSE($F$8,E16,F16,G16)</f>
        <v/>
      </c>
      <c r="I16" s="197">
        <f>+I40/I$21</f>
        <v/>
      </c>
      <c r="J16" s="197">
        <f>+J40/J$21</f>
        <v/>
      </c>
      <c r="K16" s="197">
        <f>+K40/K$21</f>
        <v/>
      </c>
      <c r="L16" s="197">
        <f>+L40/L$21</f>
        <v/>
      </c>
      <c r="M16" s="196">
        <f>+$H16</f>
        <v/>
      </c>
      <c r="N16" s="196">
        <f>+$H16</f>
        <v/>
      </c>
      <c r="O16" s="196">
        <f>+$H16</f>
        <v/>
      </c>
      <c r="P16" s="196">
        <f>+$H16</f>
        <v/>
      </c>
      <c r="Q16" s="196">
        <f>+$H16</f>
        <v/>
      </c>
      <c r="R16" s="196">
        <f>+$H16</f>
        <v/>
      </c>
      <c r="S16" s="196">
        <f>+$H16</f>
        <v/>
      </c>
    </row>
    <row r="17">
      <c r="D17" s="113" t="inlineStr">
        <is>
          <t>Payables (% of revenues, negative — NOF)</t>
        </is>
      </c>
      <c r="E17" s="194" t="n">
        <v>-0.2154</v>
      </c>
      <c r="F17" s="194" t="n">
        <v>-0.2155</v>
      </c>
      <c r="G17" s="194" t="n">
        <v>-0.213</v>
      </c>
      <c r="H17" s="195">
        <f>CHOOSE($F$8,E17,F17,G17)</f>
        <v/>
      </c>
      <c r="I17" s="197">
        <f>+I41/I$21</f>
        <v/>
      </c>
      <c r="J17" s="197">
        <f>+J41/J$21</f>
        <v/>
      </c>
      <c r="K17" s="197">
        <f>+K41/K$21</f>
        <v/>
      </c>
      <c r="L17" s="197">
        <f>+L41/L$21</f>
        <v/>
      </c>
      <c r="M17" s="196">
        <f>+$H17</f>
        <v/>
      </c>
      <c r="N17" s="196">
        <f>+$H17</f>
        <v/>
      </c>
      <c r="O17" s="196">
        <f>+$H17</f>
        <v/>
      </c>
      <c r="P17" s="196">
        <f>+$H17</f>
        <v/>
      </c>
      <c r="Q17" s="196">
        <f>+$H17</f>
        <v/>
      </c>
      <c r="R17" s="196">
        <f>+$H17</f>
        <v/>
      </c>
      <c r="S17" s="196">
        <f>+$H17</f>
        <v/>
      </c>
    </row>
    <row r="19" ht="13.95" customHeight="1" s="114">
      <c r="C19" s="14" t="inlineStr">
        <is>
          <t>P&amp;L</t>
        </is>
      </c>
      <c r="D19" s="14" t="n"/>
      <c r="E19" s="14" t="n"/>
      <c r="F19" s="14" t="n"/>
      <c r="G19" s="14" t="n"/>
      <c r="H19" s="14" t="n"/>
      <c r="I19" s="69" t="inlineStr">
        <is>
          <t>31-Jan</t>
        </is>
      </c>
      <c r="J19" s="69" t="inlineStr">
        <is>
          <t>31-Jan</t>
        </is>
      </c>
      <c r="K19" s="69" t="inlineStr">
        <is>
          <t>31-Jan</t>
        </is>
      </c>
      <c r="L19" s="69" t="inlineStr">
        <is>
          <t>31-Jan</t>
        </is>
      </c>
      <c r="M19" s="69" t="inlineStr">
        <is>
          <t>31-Jan</t>
        </is>
      </c>
      <c r="N19" s="69" t="inlineStr">
        <is>
          <t>31-Jan</t>
        </is>
      </c>
      <c r="O19" s="69" t="inlineStr">
        <is>
          <t>31-Jan</t>
        </is>
      </c>
      <c r="P19" s="69" t="inlineStr">
        <is>
          <t>31-Jan</t>
        </is>
      </c>
      <c r="Q19" s="69" t="inlineStr">
        <is>
          <t>31-Jan</t>
        </is>
      </c>
      <c r="R19" s="69" t="inlineStr">
        <is>
          <t>31-Jan</t>
        </is>
      </c>
      <c r="S19" s="69" t="inlineStr">
        <is>
          <t>31-Jan</t>
        </is>
      </c>
      <c r="T19" s="69" t="inlineStr">
        <is>
          <t>CAGR</t>
        </is>
      </c>
      <c r="U19" s="69" t="inlineStr">
        <is>
          <t>CAGR</t>
        </is>
      </c>
    </row>
    <row r="20" ht="13.95" customHeight="1" s="114">
      <c r="C20" s="14" t="inlineStr">
        <is>
          <t>€m</t>
        </is>
      </c>
      <c r="D20" s="14" t="inlineStr">
        <is>
          <t>100% Inditex Consolidated Line Item</t>
        </is>
      </c>
      <c r="E20" s="14" t="n"/>
      <c r="F20" s="14" t="n"/>
      <c r="G20" s="14" t="n"/>
      <c r="H20" s="14" t="n"/>
      <c r="I20" s="153" t="n">
        <v>2022</v>
      </c>
      <c r="J20" s="153">
        <f>+I20+1</f>
        <v/>
      </c>
      <c r="K20" s="153">
        <f>+J20+1</f>
        <v/>
      </c>
      <c r="L20" s="153">
        <f>+K20+1</f>
        <v/>
      </c>
      <c r="M20" s="154">
        <f>+L20+1</f>
        <v/>
      </c>
      <c r="N20" s="154">
        <f>+M20+1</f>
        <v/>
      </c>
      <c r="O20" s="154">
        <f>+N20+1</f>
        <v/>
      </c>
      <c r="P20" s="154">
        <f>+O20+1</f>
        <v/>
      </c>
      <c r="Q20" s="154">
        <f>+P20+1</f>
        <v/>
      </c>
      <c r="R20" s="154">
        <f>+Q20+1</f>
        <v/>
      </c>
      <c r="S20" s="154">
        <f>+R20+1</f>
        <v/>
      </c>
      <c r="T20" s="69" t="inlineStr">
        <is>
          <t>22A-25A</t>
        </is>
      </c>
      <c r="U20" s="69" t="inlineStr">
        <is>
          <t>25A-32E</t>
        </is>
      </c>
    </row>
    <row r="21">
      <c r="B21" s="9" t="n">
        <v>2</v>
      </c>
      <c r="D21" s="54" t="inlineStr">
        <is>
          <t>Net Revenues (100% Inditex)</t>
        </is>
      </c>
      <c r="I21" s="77" t="n">
        <v>32569</v>
      </c>
      <c r="J21" s="77" t="n">
        <v>35947</v>
      </c>
      <c r="K21" s="77" t="n">
        <v>38632</v>
      </c>
      <c r="L21" s="77" t="n">
        <v>39864</v>
      </c>
      <c r="M21" s="55">
        <f>+L21*(1+M9)</f>
        <v/>
      </c>
      <c r="N21" s="55">
        <f>+M21*(1+N9)</f>
        <v/>
      </c>
      <c r="O21" s="55">
        <f>+N21*(1+O9)</f>
        <v/>
      </c>
      <c r="P21" s="55">
        <f>+O21*(1+P9)</f>
        <v/>
      </c>
      <c r="Q21" s="55">
        <f>+P21*(1+Q9)</f>
        <v/>
      </c>
      <c r="R21" s="55">
        <f>+Q21*(1+R9)</f>
        <v/>
      </c>
      <c r="S21" s="55">
        <f>+R21*(1+S9)</f>
        <v/>
      </c>
      <c r="T21" s="198">
        <f>+IFERROR((L21/I21)^(1/(L$20-I$20))-1,0)</f>
        <v/>
      </c>
      <c r="U21" s="198">
        <f>+IFERROR((S21/L21)^(1/(S$20-L$20))-1,0)</f>
        <v/>
      </c>
    </row>
    <row r="22">
      <c r="D22" s="113" t="inlineStr">
        <is>
          <t>COGS</t>
        </is>
      </c>
      <c r="I22" s="37">
        <f>+I23-I21</f>
        <v/>
      </c>
      <c r="J22" s="37">
        <f>+J23-J21</f>
        <v/>
      </c>
      <c r="K22" s="37">
        <f>+K23-K21</f>
        <v/>
      </c>
      <c r="L22" s="37">
        <f>+L23-L21</f>
        <v/>
      </c>
      <c r="M22" s="37">
        <f>+M23-M21</f>
        <v/>
      </c>
      <c r="N22" s="37">
        <f>+N23-N21</f>
        <v/>
      </c>
      <c r="O22" s="37">
        <f>+O23-O21</f>
        <v/>
      </c>
      <c r="P22" s="37">
        <f>+P23-P21</f>
        <v/>
      </c>
      <c r="Q22" s="37">
        <f>+Q23-Q21</f>
        <v/>
      </c>
      <c r="R22" s="37">
        <f>+R23-R21</f>
        <v/>
      </c>
      <c r="S22" s="37">
        <f>+S23-S21</f>
        <v/>
      </c>
      <c r="T22" s="136">
        <f>+IFERROR((L22/I22)^(1/(L$20-I$20))-1,0)</f>
        <v/>
      </c>
      <c r="U22" s="136">
        <f>+IFERROR((S22/L22)^(1/(S$20-L$20))-1,0)</f>
        <v/>
      </c>
    </row>
    <row r="23">
      <c r="D23" s="54" t="inlineStr">
        <is>
          <t>Gross Profit</t>
        </is>
      </c>
      <c r="I23" s="77" t="n">
        <v>18559</v>
      </c>
      <c r="J23" s="77" t="n">
        <v>20762</v>
      </c>
      <c r="K23" s="77" t="n">
        <v>22343</v>
      </c>
      <c r="L23" s="77" t="n">
        <v>23222</v>
      </c>
      <c r="M23" s="55">
        <f>+M21*M10</f>
        <v/>
      </c>
      <c r="N23" s="55">
        <f>+N21*N10</f>
        <v/>
      </c>
      <c r="O23" s="55">
        <f>+O21*O10</f>
        <v/>
      </c>
      <c r="P23" s="55">
        <f>+P21*P10</f>
        <v/>
      </c>
      <c r="Q23" s="55">
        <f>+Q21*Q10</f>
        <v/>
      </c>
      <c r="R23" s="55">
        <f>+R21*R10</f>
        <v/>
      </c>
      <c r="S23" s="55">
        <f>+S21*S10</f>
        <v/>
      </c>
      <c r="T23" s="198">
        <f>+IFERROR((L23/I23)^(1/(L$20-I$20))-1,0)</f>
        <v/>
      </c>
      <c r="U23" s="198">
        <f>+IFERROR((S23/L23)^(1/(S$20-L$20))-1,0)</f>
        <v/>
      </c>
    </row>
    <row r="24">
      <c r="D24" s="79" t="inlineStr">
        <is>
          <t>% Gross margin</t>
        </is>
      </c>
      <c r="I24" s="199">
        <f>+IFERROR(I23/I$21,0)</f>
        <v/>
      </c>
      <c r="J24" s="199">
        <f>+IFERROR(J23/J$21,0)</f>
        <v/>
      </c>
      <c r="K24" s="199">
        <f>+IFERROR(K23/K$21,0)</f>
        <v/>
      </c>
      <c r="L24" s="199">
        <f>+IFERROR(L23/L$21,0)</f>
        <v/>
      </c>
      <c r="M24" s="199">
        <f>+IFERROR(M23/M$21,0)</f>
        <v/>
      </c>
      <c r="N24" s="199">
        <f>+IFERROR(N23/N$21,0)</f>
        <v/>
      </c>
      <c r="O24" s="199">
        <f>+IFERROR(O23/O$21,0)</f>
        <v/>
      </c>
      <c r="P24" s="199">
        <f>+IFERROR(P23/P$21,0)</f>
        <v/>
      </c>
      <c r="Q24" s="199">
        <f>+IFERROR(Q23/Q$21,0)</f>
        <v/>
      </c>
      <c r="R24" s="199">
        <f>+IFERROR(R23/R$21,0)</f>
        <v/>
      </c>
      <c r="S24" s="199">
        <f>+IFERROR(S23/S$21,0)</f>
        <v/>
      </c>
    </row>
    <row r="25">
      <c r="D25" s="113" t="inlineStr">
        <is>
          <t>OpEx (Personnel, variable turnover rent &amp; SG&amp;A)</t>
        </is>
      </c>
      <c r="I25" s="41" t="n">
        <v>-9910</v>
      </c>
      <c r="J25" s="41" t="n">
        <v>-10912</v>
      </c>
      <c r="K25" s="41" t="n">
        <v>-11615</v>
      </c>
      <c r="L25" s="41" t="n">
        <v>-11955</v>
      </c>
      <c r="M25" s="37">
        <f>+L25*(1+M11)</f>
        <v/>
      </c>
      <c r="N25" s="37">
        <f>+M25*(1+N11)</f>
        <v/>
      </c>
      <c r="O25" s="37">
        <f>+N25*(1+O11)</f>
        <v/>
      </c>
      <c r="P25" s="37">
        <f>+O25*(1+P11)</f>
        <v/>
      </c>
      <c r="Q25" s="37">
        <f>+P25*(1+Q11)</f>
        <v/>
      </c>
      <c r="R25" s="37">
        <f>+Q25*(1+R11)</f>
        <v/>
      </c>
      <c r="S25" s="37">
        <f>+R25*(1+S11)</f>
        <v/>
      </c>
      <c r="T25" s="136">
        <f>+IFERROR((L25/I25)^(1/(L$20-I$20))-1,0)</f>
        <v/>
      </c>
      <c r="U25" s="136">
        <f>+IFERROR((S25/L25)^(1/(S$20-L$20))-1,0)</f>
        <v/>
      </c>
    </row>
    <row r="26">
      <c r="D26" s="54" t="inlineStr">
        <is>
          <t>Reported EBITDA (Post-IFRS 16 — 100% Inditex)</t>
        </is>
      </c>
      <c r="I26" s="55">
        <f>+I23+I25</f>
        <v/>
      </c>
      <c r="J26" s="55">
        <f>+J23+J25</f>
        <v/>
      </c>
      <c r="K26" s="55">
        <f>+K23+K25</f>
        <v/>
      </c>
      <c r="L26" s="55">
        <f>+L23+L25</f>
        <v/>
      </c>
      <c r="M26" s="55">
        <f>+M23+M25</f>
        <v/>
      </c>
      <c r="N26" s="55">
        <f>+N23+N25</f>
        <v/>
      </c>
      <c r="O26" s="55">
        <f>+O23+O25</f>
        <v/>
      </c>
      <c r="P26" s="55">
        <f>+P23+P25</f>
        <v/>
      </c>
      <c r="Q26" s="55">
        <f>+Q23+Q25</f>
        <v/>
      </c>
      <c r="R26" s="55">
        <f>+R23+R25</f>
        <v/>
      </c>
      <c r="S26" s="55">
        <f>+S23+S25</f>
        <v/>
      </c>
      <c r="T26" s="198">
        <f>+IFERROR((L26/I26)^(1/(L$20-I$20))-1,0)</f>
        <v/>
      </c>
      <c r="U26" s="198">
        <f>+IFERROR((S26/L26)^(1/(S$20-L$20))-1,0)</f>
        <v/>
      </c>
    </row>
    <row r="27">
      <c r="D27" s="79" t="inlineStr">
        <is>
          <t>% Reported EBITDA margin (Post-IFRS 16)</t>
        </is>
      </c>
      <c r="I27" s="199">
        <f>+IFERROR(I26/I$21,0)</f>
        <v/>
      </c>
      <c r="J27" s="199">
        <f>+IFERROR(J26/J$21,0)</f>
        <v/>
      </c>
      <c r="K27" s="199">
        <f>+IFERROR(K26/K$21,0)</f>
        <v/>
      </c>
      <c r="L27" s="199">
        <f>+IFERROR(L26/L$21,0)</f>
        <v/>
      </c>
      <c r="M27" s="199">
        <f>+IFERROR(M26/M$21,0)</f>
        <v/>
      </c>
      <c r="N27" s="199">
        <f>+IFERROR(N26/N$21,0)</f>
        <v/>
      </c>
      <c r="O27" s="199">
        <f>+IFERROR(O26/O$21,0)</f>
        <v/>
      </c>
      <c r="P27" s="199">
        <f>+IFERROR(P26/P$21,0)</f>
        <v/>
      </c>
      <c r="Q27" s="199">
        <f>+IFERROR(Q26/Q$21,0)</f>
        <v/>
      </c>
      <c r="R27" s="199">
        <f>+IFERROR(R26/R$21,0)</f>
        <v/>
      </c>
      <c r="S27" s="199">
        <f>+IFERROR(S26/S$21,0)</f>
        <v/>
      </c>
    </row>
    <row r="28">
      <c r="D28" s="113" t="inlineStr">
        <is>
          <t>Less: Fixed cash lease outflow (IFRS 16 Note 16 / CF Statement)</t>
        </is>
      </c>
      <c r="I28" s="41" t="n">
        <v>-1621</v>
      </c>
      <c r="J28" s="41" t="n">
        <v>-1733</v>
      </c>
      <c r="K28" s="41" t="n">
        <v>-1802</v>
      </c>
      <c r="L28" s="41" t="n">
        <v>-1834</v>
      </c>
      <c r="M28" s="37">
        <f>+L28*(1+M12)</f>
        <v/>
      </c>
      <c r="N28" s="37">
        <f>+M28*(1+N12)</f>
        <v/>
      </c>
      <c r="O28" s="37">
        <f>+N28*(1+O12)</f>
        <v/>
      </c>
      <c r="P28" s="37">
        <f>+O28*(1+P12)</f>
        <v/>
      </c>
      <c r="Q28" s="37">
        <f>+P28*(1+Q12)</f>
        <v/>
      </c>
      <c r="R28" s="37">
        <f>+Q28*(1+R12)</f>
        <v/>
      </c>
      <c r="S28" s="37">
        <f>+R28*(1+S12)</f>
        <v/>
      </c>
      <c r="T28" s="136">
        <f>+IFERROR((L28/I28)^(1/(L$20-I$20))-1,0)</f>
        <v/>
      </c>
      <c r="U28" s="136">
        <f>+IFERROR((S28/L28)^(1/(S$20-L$20))-1,0)</f>
        <v/>
      </c>
    </row>
    <row r="29">
      <c r="D29" s="113" t="inlineStr">
        <is>
          <t>Plus: Due Diligence Adjustments &amp; Normalizations</t>
        </is>
      </c>
      <c r="I29" s="41" t="n">
        <v>0</v>
      </c>
      <c r="J29" s="41" t="n">
        <v>0</v>
      </c>
      <c r="K29" s="41" t="n">
        <v>0</v>
      </c>
      <c r="L29" s="41" t="n">
        <v>0</v>
      </c>
      <c r="M29" s="41" t="n">
        <v>0</v>
      </c>
      <c r="N29" s="41" t="n">
        <v>0</v>
      </c>
      <c r="O29" s="41" t="n">
        <v>0</v>
      </c>
      <c r="P29" s="41" t="n">
        <v>0</v>
      </c>
      <c r="Q29" s="41" t="n">
        <v>0</v>
      </c>
      <c r="R29" s="41" t="n">
        <v>0</v>
      </c>
      <c r="S29" s="41" t="n">
        <v>0</v>
      </c>
    </row>
    <row r="30">
      <c r="D30" s="42" t="inlineStr">
        <is>
          <t>Pre-IFRS 16 Normalized Cash EBITDA (100% Inditex — LBO Basis)</t>
        </is>
      </c>
      <c r="I30" s="43">
        <f>+I26+I28+I29</f>
        <v/>
      </c>
      <c r="J30" s="43">
        <f>+J26+J28+J29</f>
        <v/>
      </c>
      <c r="K30" s="43">
        <f>+K26+K28+K29</f>
        <v/>
      </c>
      <c r="L30" s="43">
        <f>+L26+L28+L29</f>
        <v/>
      </c>
      <c r="M30" s="43">
        <f>+M26+M28+M29</f>
        <v/>
      </c>
      <c r="N30" s="43">
        <f>+N26+N28+N29</f>
        <v/>
      </c>
      <c r="O30" s="43">
        <f>+O26+O28+O29</f>
        <v/>
      </c>
      <c r="P30" s="43">
        <f>+P26+P28+P29</f>
        <v/>
      </c>
      <c r="Q30" s="43">
        <f>+Q26+Q28+Q29</f>
        <v/>
      </c>
      <c r="R30" s="43">
        <f>+R26+R28+R29</f>
        <v/>
      </c>
      <c r="S30" s="43">
        <f>+S26+S28+S29</f>
        <v/>
      </c>
      <c r="T30" s="139">
        <f>+IFERROR((L30/I30)^(1/(L$20-I$20))-1,0)</f>
        <v/>
      </c>
      <c r="U30" s="139">
        <f>+IFERROR((S30/L30)^(1/(S$20-L$20))-1,0)</f>
        <v/>
      </c>
    </row>
    <row r="31">
      <c r="D31" s="79" t="inlineStr">
        <is>
          <t>% Pre-IFRS 16 Cash EBITDA margin</t>
        </is>
      </c>
      <c r="I31" s="199">
        <f>+IFERROR(I30/I$21,0)</f>
        <v/>
      </c>
      <c r="J31" s="199">
        <f>+IFERROR(J30/J$21,0)</f>
        <v/>
      </c>
      <c r="K31" s="199">
        <f>+IFERROR(K30/K$21,0)</f>
        <v/>
      </c>
      <c r="L31" s="199">
        <f>+IFERROR(L30/L$21,0)</f>
        <v/>
      </c>
      <c r="M31" s="199">
        <f>+IFERROR(M30/M$21,0)</f>
        <v/>
      </c>
      <c r="N31" s="199">
        <f>+IFERROR(N30/N$21,0)</f>
        <v/>
      </c>
      <c r="O31" s="199">
        <f>+IFERROR(O30/O$21,0)</f>
        <v/>
      </c>
      <c r="P31" s="199">
        <f>+IFERROR(P30/P$21,0)</f>
        <v/>
      </c>
      <c r="Q31" s="199">
        <f>+IFERROR(Q30/Q$21,0)</f>
        <v/>
      </c>
      <c r="R31" s="199">
        <f>+IFERROR(R30/R$21,0)</f>
        <v/>
      </c>
      <c r="S31" s="199">
        <f>+IFERROR(S30/S$21,0)</f>
        <v/>
      </c>
    </row>
    <row r="32">
      <c r="D32" s="113" t="inlineStr">
        <is>
          <t>D&amp;A (Owned PP&amp;E &amp; intangibles — 100% Inditex)</t>
        </is>
      </c>
      <c r="I32" s="81">
        <f>+I49</f>
        <v/>
      </c>
      <c r="J32" s="81">
        <f>+J49</f>
        <v/>
      </c>
      <c r="K32" s="81">
        <f>+K49</f>
        <v/>
      </c>
      <c r="L32" s="81">
        <f>+L49</f>
        <v/>
      </c>
      <c r="M32" s="81">
        <f>+M49</f>
        <v/>
      </c>
      <c r="N32" s="81">
        <f>+N49</f>
        <v/>
      </c>
      <c r="O32" s="81">
        <f>+O49</f>
        <v/>
      </c>
      <c r="P32" s="81">
        <f>+P49</f>
        <v/>
      </c>
      <c r="Q32" s="81">
        <f>+Q49</f>
        <v/>
      </c>
      <c r="R32" s="81">
        <f>+R49</f>
        <v/>
      </c>
      <c r="S32" s="81">
        <f>+S49</f>
        <v/>
      </c>
      <c r="T32" s="136">
        <f>+IFERROR((L32/I32)^(1/(L$20-I$20))-1,0)</f>
        <v/>
      </c>
      <c r="U32" s="136">
        <f>+IFERROR((S32/L32)^(1/(S$20-L$20))-1,0)</f>
        <v/>
      </c>
    </row>
    <row r="33">
      <c r="D33" s="42" t="inlineStr">
        <is>
          <t>Operating EBIT (Pre-IFRS 16 — 100% Inditex)</t>
        </is>
      </c>
      <c r="I33" s="43">
        <f>+I30+I32</f>
        <v/>
      </c>
      <c r="J33" s="43">
        <f>+J30+J32</f>
        <v/>
      </c>
      <c r="K33" s="43">
        <f>+K30+K32</f>
        <v/>
      </c>
      <c r="L33" s="43">
        <f>+L30+L32</f>
        <v/>
      </c>
      <c r="M33" s="43">
        <f>+M30+M32</f>
        <v/>
      </c>
      <c r="N33" s="43">
        <f>+N30+N32</f>
        <v/>
      </c>
      <c r="O33" s="43">
        <f>+O30+O32</f>
        <v/>
      </c>
      <c r="P33" s="43">
        <f>+P30+P32</f>
        <v/>
      </c>
      <c r="Q33" s="43">
        <f>+Q30+Q32</f>
        <v/>
      </c>
      <c r="R33" s="43">
        <f>+R30+R32</f>
        <v/>
      </c>
      <c r="S33" s="43">
        <f>+S30+S32</f>
        <v/>
      </c>
      <c r="T33" s="139">
        <f>+IFERROR((L33/I33)^(1/(L$20-I$20))-1,0)</f>
        <v/>
      </c>
      <c r="U33" s="139">
        <f>+IFERROR((S33/L33)^(1/(S$20-L$20))-1,0)</f>
        <v/>
      </c>
    </row>
    <row r="36" ht="13.95" customHeight="1" s="114">
      <c r="C36" s="14" t="inlineStr">
        <is>
          <t>NOF / WK</t>
        </is>
      </c>
      <c r="D36" s="14" t="n"/>
      <c r="E36" s="14" t="n"/>
      <c r="F36" s="14" t="n"/>
      <c r="G36" s="14" t="n"/>
      <c r="H36" s="14" t="n"/>
      <c r="I36" s="69" t="inlineStr">
        <is>
          <t>31-Jan</t>
        </is>
      </c>
      <c r="J36" s="69" t="inlineStr">
        <is>
          <t>31-Jan</t>
        </is>
      </c>
      <c r="K36" s="69" t="inlineStr">
        <is>
          <t>31-Jan</t>
        </is>
      </c>
      <c r="L36" s="69" t="inlineStr">
        <is>
          <t>31-Jan</t>
        </is>
      </c>
      <c r="M36" s="69" t="inlineStr">
        <is>
          <t>31-Jan</t>
        </is>
      </c>
      <c r="N36" s="69" t="inlineStr">
        <is>
          <t>31-Jan</t>
        </is>
      </c>
      <c r="O36" s="69" t="inlineStr">
        <is>
          <t>31-Jan</t>
        </is>
      </c>
      <c r="P36" s="69" t="inlineStr">
        <is>
          <t>31-Jan</t>
        </is>
      </c>
      <c r="Q36" s="69" t="inlineStr">
        <is>
          <t>31-Jan</t>
        </is>
      </c>
      <c r="R36" s="69" t="inlineStr">
        <is>
          <t>31-Jan</t>
        </is>
      </c>
      <c r="S36" s="69" t="inlineStr">
        <is>
          <t>31-Jan</t>
        </is>
      </c>
      <c r="T36" s="14" t="n"/>
      <c r="U36" s="14" t="n"/>
    </row>
    <row r="37" ht="13.95" customHeight="1" s="114">
      <c r="C37" s="14" t="inlineStr">
        <is>
          <t>€m</t>
        </is>
      </c>
      <c r="D37" s="14" t="inlineStr">
        <is>
          <t>100% Inditex Consolidated Line Item</t>
        </is>
      </c>
      <c r="E37" s="14" t="n"/>
      <c r="F37" s="14" t="n"/>
      <c r="G37" s="14" t="n"/>
      <c r="H37" s="14" t="n"/>
      <c r="I37" s="153" t="n">
        <v>2022</v>
      </c>
      <c r="J37" s="153">
        <f>+I37+1</f>
        <v/>
      </c>
      <c r="K37" s="153">
        <f>+J37+1</f>
        <v/>
      </c>
      <c r="L37" s="153">
        <f>+K37+1</f>
        <v/>
      </c>
      <c r="M37" s="154">
        <f>+L37+1</f>
        <v/>
      </c>
      <c r="N37" s="154">
        <f>+M37+1</f>
        <v/>
      </c>
      <c r="O37" s="154">
        <f>+N37+1</f>
        <v/>
      </c>
      <c r="P37" s="154">
        <f>+O37+1</f>
        <v/>
      </c>
      <c r="Q37" s="154">
        <f>+P37+1</f>
        <v/>
      </c>
      <c r="R37" s="154">
        <f>+Q37+1</f>
        <v/>
      </c>
      <c r="S37" s="154">
        <f>+R37+1</f>
        <v/>
      </c>
      <c r="T37" s="14" t="n"/>
      <c r="U37" s="14" t="n"/>
    </row>
    <row r="38">
      <c r="B38" s="9" t="n">
        <v>3</v>
      </c>
      <c r="D38" s="115" t="inlineStr">
        <is>
          <t>Operating Working Capital (Structural Negative NOF — 100% Inditex)</t>
        </is>
      </c>
    </row>
    <row r="39">
      <c r="D39" s="113" t="inlineStr">
        <is>
          <t>Inventory</t>
        </is>
      </c>
      <c r="I39" s="41" t="n">
        <v>3191</v>
      </c>
      <c r="J39" s="41" t="n">
        <v>2966</v>
      </c>
      <c r="K39" s="41" t="n">
        <v>3321</v>
      </c>
      <c r="L39" s="41" t="n">
        <v>3249</v>
      </c>
      <c r="M39" s="37">
        <f>+M$21*M15</f>
        <v/>
      </c>
      <c r="N39" s="37">
        <f>+N$21*N15</f>
        <v/>
      </c>
      <c r="O39" s="37">
        <f>+O$21*O15</f>
        <v/>
      </c>
      <c r="P39" s="37">
        <f>+P$21*P15</f>
        <v/>
      </c>
      <c r="Q39" s="37">
        <f>+Q$21*Q15</f>
        <v/>
      </c>
      <c r="R39" s="37">
        <f>+R$21*R15</f>
        <v/>
      </c>
      <c r="S39" s="37">
        <f>+S$21*S15</f>
        <v/>
      </c>
    </row>
    <row r="40">
      <c r="D40" s="113" t="inlineStr">
        <is>
          <t>Trade &amp; other receivables</t>
        </is>
      </c>
      <c r="I40" s="41" t="n">
        <v>851</v>
      </c>
      <c r="J40" s="41" t="n">
        <v>1038</v>
      </c>
      <c r="K40" s="41" t="n">
        <v>1088</v>
      </c>
      <c r="L40" s="41" t="n">
        <v>1166</v>
      </c>
      <c r="M40" s="37">
        <f>+M$21*M16</f>
        <v/>
      </c>
      <c r="N40" s="37">
        <f>+N$21*N16</f>
        <v/>
      </c>
      <c r="O40" s="37">
        <f>+O$21*O16</f>
        <v/>
      </c>
      <c r="P40" s="37">
        <f>+P$21*P16</f>
        <v/>
      </c>
      <c r="Q40" s="37">
        <f>+Q$21*Q16</f>
        <v/>
      </c>
      <c r="R40" s="37">
        <f>+R$21*R16</f>
        <v/>
      </c>
      <c r="S40" s="37">
        <f>+S$21*S16</f>
        <v/>
      </c>
    </row>
    <row r="41">
      <c r="D41" s="113" t="inlineStr">
        <is>
          <t>Trade &amp; other payables (Supplier financing)</t>
        </is>
      </c>
      <c r="I41" s="41" t="n">
        <v>-6561</v>
      </c>
      <c r="J41" s="41" t="n">
        <v>-7467</v>
      </c>
      <c r="K41" s="41" t="n">
        <v>-8590</v>
      </c>
      <c r="L41" s="41" t="n">
        <v>-8587</v>
      </c>
      <c r="M41" s="37">
        <f>+M$21*M17</f>
        <v/>
      </c>
      <c r="N41" s="37">
        <f>+N$21*N17</f>
        <v/>
      </c>
      <c r="O41" s="37">
        <f>+O$21*O17</f>
        <v/>
      </c>
      <c r="P41" s="37">
        <f>+P$21*P17</f>
        <v/>
      </c>
      <c r="Q41" s="37">
        <f>+Q$21*Q17</f>
        <v/>
      </c>
      <c r="R41" s="37">
        <f>+R$21*R17</f>
        <v/>
      </c>
      <c r="S41" s="37">
        <f>+S$21*S17</f>
        <v/>
      </c>
    </row>
    <row r="42">
      <c r="D42" s="54" t="inlineStr">
        <is>
          <t>Net Operating Working Capital (NOF EoP — 100% Inditex)</t>
        </is>
      </c>
      <c r="I42" s="55">
        <f>+SUM(I39:I41)</f>
        <v/>
      </c>
      <c r="J42" s="55">
        <f>+SUM(J39:J41)</f>
        <v/>
      </c>
      <c r="K42" s="55">
        <f>+SUM(K39:K41)</f>
        <v/>
      </c>
      <c r="L42" s="55">
        <f>+SUM(L39:L41)</f>
        <v/>
      </c>
      <c r="M42" s="55">
        <f>+SUM(M39:M41)</f>
        <v/>
      </c>
      <c r="N42" s="55">
        <f>+SUM(N39:N41)</f>
        <v/>
      </c>
      <c r="O42" s="55">
        <f>+SUM(O39:O41)</f>
        <v/>
      </c>
      <c r="P42" s="55">
        <f>+SUM(P39:P41)</f>
        <v/>
      </c>
      <c r="Q42" s="55">
        <f>+SUM(Q39:Q41)</f>
        <v/>
      </c>
      <c r="R42" s="55">
        <f>+SUM(R39:R41)</f>
        <v/>
      </c>
      <c r="S42" s="55">
        <f>+SUM(S39:S41)</f>
        <v/>
      </c>
    </row>
    <row r="43">
      <c r="D43" s="79" t="inlineStr">
        <is>
          <t>NOF % of revenues (Negative = Supplier-funded float)</t>
        </is>
      </c>
      <c r="I43" s="199">
        <f>+IFERROR(I42/I$21,0)</f>
        <v/>
      </c>
      <c r="J43" s="199">
        <f>+IFERROR(J42/J$21,0)</f>
        <v/>
      </c>
      <c r="K43" s="199">
        <f>+IFERROR(K42/K$21,0)</f>
        <v/>
      </c>
      <c r="L43" s="199">
        <f>+IFERROR(L42/L$21,0)</f>
        <v/>
      </c>
      <c r="M43" s="199">
        <f>+IFERROR(M42/M$21,0)</f>
        <v/>
      </c>
      <c r="N43" s="199">
        <f>+IFERROR(N42/N$21,0)</f>
        <v/>
      </c>
      <c r="O43" s="199">
        <f>+IFERROR(O42/O$21,0)</f>
        <v/>
      </c>
      <c r="P43" s="199">
        <f>+IFERROR(P42/P$21,0)</f>
        <v/>
      </c>
      <c r="Q43" s="199">
        <f>+IFERROR(Q42/Q$21,0)</f>
        <v/>
      </c>
      <c r="R43" s="199">
        <f>+IFERROR(R42/R$21,0)</f>
        <v/>
      </c>
      <c r="S43" s="199">
        <f>+IFERROR(S42/S$21,0)</f>
        <v/>
      </c>
    </row>
    <row r="44">
      <c r="D44" s="42" t="inlineStr">
        <is>
          <t>Cash Flow from Working Capital (-ΔNOF — 100% Inditex)</t>
        </is>
      </c>
      <c r="I44" s="82" t="n">
        <v>0</v>
      </c>
      <c r="J44" s="43">
        <f>+(I42-J42)</f>
        <v/>
      </c>
      <c r="K44" s="43">
        <f>+(J42-K42)</f>
        <v/>
      </c>
      <c r="L44" s="43">
        <f>+(K42-L42)</f>
        <v/>
      </c>
      <c r="M44" s="43">
        <f>+(L42-M42)</f>
        <v/>
      </c>
      <c r="N44" s="43">
        <f>+(M42-N42)</f>
        <v/>
      </c>
      <c r="O44" s="43">
        <f>+(N42-O42)</f>
        <v/>
      </c>
      <c r="P44" s="43">
        <f>+(O42-P42)</f>
        <v/>
      </c>
      <c r="Q44" s="43">
        <f>+(P42-Q42)</f>
        <v/>
      </c>
      <c r="R44" s="43">
        <f>+(Q42-R42)</f>
        <v/>
      </c>
      <c r="S44" s="43">
        <f>+(R42-S42)</f>
        <v/>
      </c>
    </row>
    <row r="46">
      <c r="B46" s="9" t="n">
        <v>4</v>
      </c>
      <c r="D46" s="115" t="inlineStr">
        <is>
          <t>Capex Split (Maintenance vs. US/Logistics Expansion) &amp; D&amp;A Schedule (100% Inditex)</t>
        </is>
      </c>
    </row>
    <row r="47">
      <c r="D47" s="113" t="inlineStr">
        <is>
          <t>BoP Net Fixed Assets (Owned PP&amp;E + Intangibles)</t>
        </is>
      </c>
      <c r="I47" s="41" t="n">
        <v>8383</v>
      </c>
      <c r="J47" s="37">
        <f>+I50</f>
        <v/>
      </c>
      <c r="K47" s="37">
        <f>+J50</f>
        <v/>
      </c>
      <c r="L47" s="37">
        <f>+K50</f>
        <v/>
      </c>
      <c r="M47" s="37">
        <f>+L50</f>
        <v/>
      </c>
      <c r="N47" s="37">
        <f>+M50</f>
        <v/>
      </c>
      <c r="O47" s="37">
        <f>+N50</f>
        <v/>
      </c>
      <c r="P47" s="37">
        <f>+O50</f>
        <v/>
      </c>
      <c r="Q47" s="37">
        <f>+P50</f>
        <v/>
      </c>
      <c r="R47" s="37">
        <f>+Q50</f>
        <v/>
      </c>
      <c r="S47" s="37">
        <f>+R50</f>
        <v/>
      </c>
    </row>
    <row r="48">
      <c r="D48" s="113" t="inlineStr">
        <is>
          <t>Total Capex additions (Maintenance + Expansion)</t>
        </is>
      </c>
      <c r="I48" s="81">
        <f>+I54</f>
        <v/>
      </c>
      <c r="J48" s="81">
        <f>+J54</f>
        <v/>
      </c>
      <c r="K48" s="81">
        <f>+K54</f>
        <v/>
      </c>
      <c r="L48" s="81">
        <f>+L54</f>
        <v/>
      </c>
      <c r="M48" s="81">
        <f>+M54</f>
        <v/>
      </c>
      <c r="N48" s="81">
        <f>+N54</f>
        <v/>
      </c>
      <c r="O48" s="81">
        <f>+O54</f>
        <v/>
      </c>
      <c r="P48" s="81">
        <f>+P54</f>
        <v/>
      </c>
      <c r="Q48" s="81">
        <f>+Q54</f>
        <v/>
      </c>
      <c r="R48" s="81">
        <f>+R54</f>
        <v/>
      </c>
      <c r="S48" s="81">
        <f>+S54</f>
        <v/>
      </c>
    </row>
    <row r="49">
      <c r="D49" s="113" t="inlineStr">
        <is>
          <t>Total D&amp;A (Owned PP&amp;E + Intangibles)</t>
        </is>
      </c>
      <c r="I49" s="41" t="n">
        <v>-1417</v>
      </c>
      <c r="J49" s="41" t="n">
        <v>-1558</v>
      </c>
      <c r="K49" s="41" t="n">
        <v>-1638</v>
      </c>
      <c r="L49" s="41" t="n">
        <v>-1674</v>
      </c>
      <c r="M49" s="37">
        <f>+M57+M69</f>
        <v/>
      </c>
      <c r="N49" s="37">
        <f>+N57+N69</f>
        <v/>
      </c>
      <c r="O49" s="37">
        <f>+O57+O69</f>
        <v/>
      </c>
      <c r="P49" s="37">
        <f>+P57+P69</f>
        <v/>
      </c>
      <c r="Q49" s="37">
        <f>+Q57+Q69</f>
        <v/>
      </c>
      <c r="R49" s="37">
        <f>+R57+R69</f>
        <v/>
      </c>
      <c r="S49" s="37">
        <f>+S57+S69</f>
        <v/>
      </c>
    </row>
    <row r="50">
      <c r="D50" s="42" t="inlineStr">
        <is>
          <t>EoP Net Fixed Assets</t>
        </is>
      </c>
      <c r="I50" s="83" t="n">
        <v>8401</v>
      </c>
      <c r="J50" s="83" t="n">
        <v>9560</v>
      </c>
      <c r="K50" s="83" t="n">
        <v>11416</v>
      </c>
      <c r="L50" s="83" t="n">
        <v>12778</v>
      </c>
      <c r="M50" s="43">
        <f>+M47+M48+M49</f>
        <v/>
      </c>
      <c r="N50" s="43">
        <f>+N47+N48+N49</f>
        <v/>
      </c>
      <c r="O50" s="43">
        <f>+O47+O48+O49</f>
        <v/>
      </c>
      <c r="P50" s="43">
        <f>+P47+P48+P49</f>
        <v/>
      </c>
      <c r="Q50" s="43">
        <f>+Q47+Q48+Q49</f>
        <v/>
      </c>
      <c r="R50" s="43">
        <f>+R47+R48+R49</f>
        <v/>
      </c>
      <c r="S50" s="43">
        <f>+S47+S48+S49</f>
        <v/>
      </c>
    </row>
    <row r="52">
      <c r="D52" s="113" t="inlineStr">
        <is>
          <t>1. Maintenance Capex (Store refurbishments &amp; IT upkeep — 100%)</t>
        </is>
      </c>
      <c r="I52" s="41" t="n">
        <v>1050</v>
      </c>
      <c r="J52" s="41" t="n">
        <v>1250</v>
      </c>
      <c r="K52" s="41" t="n">
        <v>1450</v>
      </c>
      <c r="L52" s="41" t="n">
        <v>1480</v>
      </c>
      <c r="M52" s="37">
        <f>+M21*M13</f>
        <v/>
      </c>
      <c r="N52" s="37">
        <f>+N21*N13</f>
        <v/>
      </c>
      <c r="O52" s="37">
        <f>+O21*O13</f>
        <v/>
      </c>
      <c r="P52" s="37">
        <f>+P21*P13</f>
        <v/>
      </c>
      <c r="Q52" s="37">
        <f>+Q21*Q13</f>
        <v/>
      </c>
      <c r="R52" s="37">
        <f>+R21*R13</f>
        <v/>
      </c>
      <c r="S52" s="37">
        <f>+S21*S13</f>
        <v/>
      </c>
    </row>
    <row r="53">
      <c r="D53" s="113" t="inlineStr">
        <is>
          <t>2. Expansion Capex (US Flagship Rollout &amp; Logistics Hubs — 100%)</t>
        </is>
      </c>
      <c r="I53" s="41" t="n">
        <v>365</v>
      </c>
      <c r="J53" s="41" t="n">
        <v>622</v>
      </c>
      <c r="K53" s="41" t="n">
        <v>1222</v>
      </c>
      <c r="L53" s="41" t="n">
        <v>1232</v>
      </c>
      <c r="M53" s="37">
        <f>+M21*M14</f>
        <v/>
      </c>
      <c r="N53" s="37">
        <f>+N21*N14</f>
        <v/>
      </c>
      <c r="O53" s="37">
        <f>+O21*O14</f>
        <v/>
      </c>
      <c r="P53" s="37">
        <f>+P21*P14</f>
        <v/>
      </c>
      <c r="Q53" s="37">
        <f>+Q21*Q14</f>
        <v/>
      </c>
      <c r="R53" s="37">
        <f>+R21*R14</f>
        <v/>
      </c>
      <c r="S53" s="37">
        <f>+S21*S14</f>
        <v/>
      </c>
    </row>
    <row r="54">
      <c r="D54" s="42" t="inlineStr">
        <is>
          <t>Total Capex (100% Inditex — Funded Organically)</t>
        </is>
      </c>
      <c r="I54" s="43">
        <f>+I52+I53</f>
        <v/>
      </c>
      <c r="J54" s="43">
        <f>+J52+J53</f>
        <v/>
      </c>
      <c r="K54" s="43">
        <f>+K52+K53</f>
        <v/>
      </c>
      <c r="L54" s="43">
        <f>+L52+L53</f>
        <v/>
      </c>
      <c r="M54" s="43">
        <f>+M52+M53</f>
        <v/>
      </c>
      <c r="N54" s="43">
        <f>+N52+N53</f>
        <v/>
      </c>
      <c r="O54" s="43">
        <f>+O52+O53</f>
        <v/>
      </c>
      <c r="P54" s="43">
        <f>+P52+P53</f>
        <v/>
      </c>
      <c r="Q54" s="43">
        <f>+Q52+Q53</f>
        <v/>
      </c>
      <c r="R54" s="43">
        <f>+R52+R53</f>
        <v/>
      </c>
      <c r="S54" s="43">
        <f>+S52+S53</f>
        <v/>
      </c>
    </row>
    <row r="56">
      <c r="D56" s="113" t="inlineStr">
        <is>
          <t>BoP existing net fixed assets</t>
        </is>
      </c>
      <c r="M56" s="1">
        <f>+L58</f>
        <v/>
      </c>
      <c r="N56" s="1">
        <f>+M58</f>
        <v/>
      </c>
      <c r="O56" s="1">
        <f>+N58</f>
        <v/>
      </c>
      <c r="P56" s="1">
        <f>+O58</f>
        <v/>
      </c>
      <c r="Q56" s="1">
        <f>+P58</f>
        <v/>
      </c>
      <c r="R56" s="1">
        <f>+Q58</f>
        <v/>
      </c>
      <c r="S56" s="1">
        <f>+R58</f>
        <v/>
      </c>
    </row>
    <row r="57">
      <c r="D57" s="113" t="inlineStr">
        <is>
          <t>D&amp;A of existing fixed assets</t>
        </is>
      </c>
      <c r="M57" s="1">
        <f>-MIN(M56,$L$58/$E$59)</f>
        <v/>
      </c>
      <c r="N57" s="1">
        <f>-MIN(N56,$L$58/$E$59)</f>
        <v/>
      </c>
      <c r="O57" s="1">
        <f>-MIN(O56,$L$58/$E$59)</f>
        <v/>
      </c>
      <c r="P57" s="1">
        <f>-MIN(P56,$L$58/$E$59)</f>
        <v/>
      </c>
      <c r="Q57" s="1">
        <f>-MIN(Q56,$L$58/$E$59)</f>
        <v/>
      </c>
      <c r="R57" s="1">
        <f>-MIN(R56,$L$58/$E$59)</f>
        <v/>
      </c>
      <c r="S57" s="1">
        <f>-MIN(S56,$L$58/$E$59)</f>
        <v/>
      </c>
    </row>
    <row r="58">
      <c r="D58" s="115" t="inlineStr">
        <is>
          <t>EoP existing net fixed assets</t>
        </is>
      </c>
      <c r="L58" s="38">
        <f>+L50</f>
        <v/>
      </c>
      <c r="M58" s="38">
        <f>+M56+M57</f>
        <v/>
      </c>
      <c r="N58" s="38">
        <f>+N56+N57</f>
        <v/>
      </c>
      <c r="O58" s="38">
        <f>+O56+O57</f>
        <v/>
      </c>
      <c r="P58" s="38">
        <f>+P56+P57</f>
        <v/>
      </c>
      <c r="Q58" s="38">
        <f>+Q56+Q57</f>
        <v/>
      </c>
      <c r="R58" s="38">
        <f>+R56+R57</f>
        <v/>
      </c>
      <c r="S58" s="38">
        <f>+S56+S57</f>
        <v/>
      </c>
    </row>
    <row r="59">
      <c r="D59" s="113" t="inlineStr">
        <is>
          <t>Asset lifetime (years)</t>
        </is>
      </c>
      <c r="E59" s="84" t="n">
        <v>10</v>
      </c>
    </row>
    <row r="60">
      <c r="D60" s="113" t="inlineStr">
        <is>
          <t>First period D&amp;A impact</t>
        </is>
      </c>
      <c r="E60" s="200" t="n">
        <v>0.5</v>
      </c>
    </row>
    <row r="61">
      <c r="G61" s="115" t="inlineStr">
        <is>
          <t>Vintage</t>
        </is>
      </c>
      <c r="H61" s="86" t="inlineStr">
        <is>
          <t>Capex (€m)</t>
        </is>
      </c>
    </row>
    <row r="62">
      <c r="G62" s="201">
        <f>+M$20</f>
        <v/>
      </c>
      <c r="H62" s="81">
        <f>+M$54</f>
        <v/>
      </c>
      <c r="M62" s="37">
        <f>-(($H62/$E$59*$E$60))</f>
        <v/>
      </c>
      <c r="N62" s="37">
        <f>-(MIN(SUM($H62,$M62:M62),$H62/$E$59))</f>
        <v/>
      </c>
      <c r="O62" s="37">
        <f>-(MIN(SUM($H62,$M62:N62),$H62/$E$59))</f>
        <v/>
      </c>
      <c r="P62" s="37">
        <f>-(MIN(SUM($H62,$M62:O62),$H62/$E$59))</f>
        <v/>
      </c>
      <c r="Q62" s="37">
        <f>-(MIN(SUM($H62,$M62:P62),$H62/$E$59))</f>
        <v/>
      </c>
      <c r="R62" s="37">
        <f>-(MIN(SUM($H62,$M62:Q62),$H62/$E$59))</f>
        <v/>
      </c>
      <c r="S62" s="37">
        <f>-(MIN(SUM($H62,$M62:R62),$H62/$E$59))</f>
        <v/>
      </c>
    </row>
    <row r="63">
      <c r="G63" s="201">
        <f>+N$20</f>
        <v/>
      </c>
      <c r="H63" s="81">
        <f>+N$54</f>
        <v/>
      </c>
      <c r="M63" s="37" t="n">
        <v>0</v>
      </c>
      <c r="N63" s="37">
        <f>-(($H63/$E$59*$E$60))</f>
        <v/>
      </c>
      <c r="O63" s="37">
        <f>-(MIN(SUM($H63,$N63:N63),$H63/$E$59))</f>
        <v/>
      </c>
      <c r="P63" s="37">
        <f>-(MIN(SUM($H63,$N63:O63),$H63/$E$59))</f>
        <v/>
      </c>
      <c r="Q63" s="37">
        <f>-(MIN(SUM($H63,$N63:P63),$H63/$E$59))</f>
        <v/>
      </c>
      <c r="R63" s="37">
        <f>-(MIN(SUM($H63,$N63:Q63),$H63/$E$59))</f>
        <v/>
      </c>
      <c r="S63" s="37">
        <f>-(MIN(SUM($H63,$N63:R63),$H63/$E$59))</f>
        <v/>
      </c>
    </row>
    <row r="64">
      <c r="G64" s="201">
        <f>+O$20</f>
        <v/>
      </c>
      <c r="H64" s="81">
        <f>+O$54</f>
        <v/>
      </c>
      <c r="M64" s="37" t="n">
        <v>0</v>
      </c>
      <c r="N64" s="37" t="n">
        <v>0</v>
      </c>
      <c r="O64" s="37">
        <f>-(($H64/$E$59*$E$60))</f>
        <v/>
      </c>
      <c r="P64" s="37">
        <f>-(MIN(SUM($H64,$O64:O64),$H64/$E$59))</f>
        <v/>
      </c>
      <c r="Q64" s="37">
        <f>-(MIN(SUM($H64,$O64:P64),$H64/$E$59))</f>
        <v/>
      </c>
      <c r="R64" s="37">
        <f>-(MIN(SUM($H64,$O64:Q64),$H64/$E$59))</f>
        <v/>
      </c>
      <c r="S64" s="37">
        <f>-(MIN(SUM($H64,$O64:R64),$H64/$E$59))</f>
        <v/>
      </c>
    </row>
    <row r="65">
      <c r="G65" s="201">
        <f>+P$20</f>
        <v/>
      </c>
      <c r="H65" s="81">
        <f>+P$54</f>
        <v/>
      </c>
      <c r="M65" s="37" t="n">
        <v>0</v>
      </c>
      <c r="N65" s="37" t="n">
        <v>0</v>
      </c>
      <c r="O65" s="37" t="n">
        <v>0</v>
      </c>
      <c r="P65" s="37">
        <f>-(($H65/$E$59*$E$60))</f>
        <v/>
      </c>
      <c r="Q65" s="37">
        <f>-(MIN(SUM($H65,$P65:P65),$H65/$E$59))</f>
        <v/>
      </c>
      <c r="R65" s="37">
        <f>-(MIN(SUM($H65,$P65:Q65),$H65/$E$59))</f>
        <v/>
      </c>
      <c r="S65" s="37">
        <f>-(MIN(SUM($H65,$P65:R65),$H65/$E$59))</f>
        <v/>
      </c>
    </row>
    <row r="66">
      <c r="G66" s="201">
        <f>+Q$20</f>
        <v/>
      </c>
      <c r="H66" s="81">
        <f>+Q$54</f>
        <v/>
      </c>
      <c r="M66" s="37" t="n">
        <v>0</v>
      </c>
      <c r="N66" s="37" t="n">
        <v>0</v>
      </c>
      <c r="O66" s="37" t="n">
        <v>0</v>
      </c>
      <c r="P66" s="37" t="n">
        <v>0</v>
      </c>
      <c r="Q66" s="37">
        <f>-(($H66/$E$59*$E$60))</f>
        <v/>
      </c>
      <c r="R66" s="37">
        <f>-(MIN(SUM($H66,$Q66:Q66),$H66/$E$59))</f>
        <v/>
      </c>
      <c r="S66" s="37">
        <f>-(MIN(SUM($H66,$Q66:R66),$H66/$E$59))</f>
        <v/>
      </c>
    </row>
    <row r="67">
      <c r="G67" s="201">
        <f>+R$20</f>
        <v/>
      </c>
      <c r="H67" s="81">
        <f>+R$54</f>
        <v/>
      </c>
      <c r="M67" s="37" t="n">
        <v>0</v>
      </c>
      <c r="N67" s="37" t="n">
        <v>0</v>
      </c>
      <c r="O67" s="37" t="n">
        <v>0</v>
      </c>
      <c r="P67" s="37" t="n">
        <v>0</v>
      </c>
      <c r="Q67" s="37" t="n">
        <v>0</v>
      </c>
      <c r="R67" s="37">
        <f>-(($H67/$E$59*$E$60))</f>
        <v/>
      </c>
      <c r="S67" s="37">
        <f>-(MIN(SUM($H67,$R67:R67),$H67/$E$59))</f>
        <v/>
      </c>
    </row>
    <row r="68">
      <c r="G68" s="201">
        <f>+S$20</f>
        <v/>
      </c>
      <c r="H68" s="81">
        <f>+S$54</f>
        <v/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>
        <f>-(($H68/$E$59*$E$60))</f>
        <v/>
      </c>
    </row>
    <row r="69">
      <c r="G69" s="54" t="inlineStr">
        <is>
          <t>Total new capex D&amp;A (100% Inditex)</t>
        </is>
      </c>
      <c r="H69" s="54" t="n"/>
      <c r="I69" s="54" t="n"/>
      <c r="J69" s="54" t="n"/>
      <c r="K69" s="54" t="n"/>
      <c r="L69" s="54" t="n"/>
      <c r="M69" s="55">
        <f>SUM(M62:M68)</f>
        <v/>
      </c>
      <c r="N69" s="55">
        <f>SUM(N62:N68)</f>
        <v/>
      </c>
      <c r="O69" s="55">
        <f>SUM(O62:O68)</f>
        <v/>
      </c>
      <c r="P69" s="55">
        <f>SUM(P62:P68)</f>
        <v/>
      </c>
      <c r="Q69" s="55">
        <f>SUM(Q62:Q68)</f>
        <v/>
      </c>
      <c r="R69" s="55">
        <f>SUM(R62:R68)</f>
        <v/>
      </c>
      <c r="S69" s="55">
        <f>SUM(S62:S68)</f>
        <v/>
      </c>
    </row>
  </sheetData>
  <dataValidations count="1">
    <dataValidation sqref="F8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abSelected="1" topLeftCell="A67" workbookViewId="0">
      <selection activeCell="E14" sqref="E14"/>
    </sheetView>
  </sheetViews>
  <sheetFormatPr baseColWidth="10" defaultColWidth="9.140625" defaultRowHeight="10.2"/>
  <cols>
    <col width="2.85546875" customWidth="1" style="114" min="1" max="1"/>
    <col width="3.42578125" customWidth="1" style="114" min="2" max="2"/>
    <col width="4.42578125" customWidth="1" style="114" min="3" max="3"/>
    <col width="50" customWidth="1" style="114" min="4" max="4"/>
    <col width="12" customWidth="1" style="114" min="5" max="6"/>
    <col width="14.42578125" bestFit="1" customWidth="1" style="114" min="7" max="7"/>
    <col width="12" customWidth="1" style="114" min="8" max="13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Debt &amp; Covenants — 100% Inditex LBO Debt Schedule (2025A–2032E), RCF Negative-NOF Backstop, WALL, SFA Covenants &amp; DSCR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4" ht="16.05" customHeight="1" s="114">
      <c r="A4" s="12" t="inlineStr">
        <is>
          <t>&gt;</t>
        </is>
      </c>
      <c r="B4" s="12" t="inlineStr">
        <is>
          <t>&gt;</t>
        </is>
      </c>
      <c r="C4" s="13" t="inlineStr">
        <is>
          <t>1. Debt Tranche Pricing (Euribor + Spread), Sizing on 100% EBITDA, Tenor &amp; WALL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</row>
    <row r="6">
      <c r="B6" s="9" t="n">
        <v>4</v>
      </c>
      <c r="D6" s="14" t="inlineStr">
        <is>
          <t>Tranche / Facility (BidCo — 100% Consolidated Group)</t>
        </is>
      </c>
      <c r="E6" s="15" t="inlineStr">
        <is>
          <t>All-In Rate</t>
        </is>
      </c>
      <c r="F6" s="15" t="inlineStr">
        <is>
          <t>xEBITDA</t>
        </is>
      </c>
      <c r="G6" s="15" t="inlineStr">
        <is>
          <t>Spread / Fixed</t>
        </is>
      </c>
      <c r="H6" s="69" t="inlineStr">
        <is>
          <t>PIK (0=Cash,1=PIK)</t>
        </is>
      </c>
      <c r="I6" s="15" t="inlineStr">
        <is>
          <t>Tenor (Yrs)</t>
        </is>
      </c>
      <c r="J6" s="15" t="inlineStr">
        <is>
          <t>Drawn (€m)</t>
        </is>
      </c>
      <c r="K6" s="14" t="n"/>
      <c r="L6" s="14" t="n"/>
      <c r="M6" s="15" t="inlineStr">
        <is>
          <t>WALL (Yrs)</t>
        </is>
      </c>
    </row>
    <row r="7">
      <c r="D7" s="115" t="inlineStr">
        <is>
          <t>Blended Initial Cost of Debt (E7) / Reference Euribor Swap (F7)</t>
        </is>
      </c>
      <c r="E7" s="50">
        <f>+(J8*E8+J9*E9+J10*E10+J11*E11)/J7</f>
        <v/>
      </c>
      <c r="F7" s="88" t="n">
        <v>0.03354</v>
      </c>
      <c r="J7" s="38">
        <f>+SUM(J8:J11)</f>
        <v/>
      </c>
      <c r="M7" s="89">
        <f>+(J8*M8+J9*M9+J10*M10+J11*M11)/J7</f>
        <v/>
      </c>
    </row>
    <row r="8">
      <c r="D8" s="113" t="inlineStr">
        <is>
          <t>1A. Senior Term Loan A (TLA — 7y Amortising Bank Debt)</t>
        </is>
      </c>
      <c r="E8" s="50">
        <f>+$F$7+G8</f>
        <v/>
      </c>
      <c r="F8" s="202" t="n">
        <v>2</v>
      </c>
      <c r="G8" s="40" t="n">
        <v>0.0225</v>
      </c>
      <c r="H8" s="91" t="n">
        <v>0</v>
      </c>
      <c r="I8" s="84" t="n">
        <v>7</v>
      </c>
      <c r="J8" s="1">
        <f>'LBO Summary'!F25</f>
        <v/>
      </c>
      <c r="M8" s="89">
        <f>+F25*1+G25*2+H25*3+I25*4+J25*5+K25*6+L25*7</f>
        <v/>
      </c>
    </row>
    <row r="9">
      <c r="D9" s="113" t="inlineStr">
        <is>
          <t>1B. Senior Term Loan B (TLB — 7y Institutional Bullet)</t>
        </is>
      </c>
      <c r="E9" s="50">
        <f>+$F$7+G9</f>
        <v/>
      </c>
      <c r="F9" s="202" t="n">
        <v>3.5</v>
      </c>
      <c r="G9" s="40" t="n">
        <v>0.0325</v>
      </c>
      <c r="H9" s="91" t="n">
        <v>0</v>
      </c>
      <c r="I9" s="84" t="n">
        <v>7</v>
      </c>
      <c r="J9" s="1">
        <f>'LBO Summary'!F26</f>
        <v/>
      </c>
      <c r="M9" s="89">
        <f>+I9</f>
        <v/>
      </c>
    </row>
    <row r="10">
      <c r="D10" s="113" t="inlineStr">
        <is>
          <t>2. Subordinated / Mezzanine Debt (Bullet; H10: 0=Cash, 1=PIK)</t>
        </is>
      </c>
      <c r="E10" s="50">
        <f>+$F$7+G10</f>
        <v/>
      </c>
      <c r="F10" s="202" t="n">
        <v>1.5</v>
      </c>
      <c r="G10" s="40" t="n">
        <v>0.0475</v>
      </c>
      <c r="H10" s="92" t="n">
        <v>1</v>
      </c>
      <c r="I10" s="84" t="n">
        <v>7.5</v>
      </c>
      <c r="J10" s="1">
        <f>'LBO Summary'!F27</f>
        <v/>
      </c>
      <c r="M10" s="89">
        <f>+I10</f>
        <v/>
      </c>
    </row>
    <row r="11">
      <c r="D11" s="113" t="inlineStr">
        <is>
          <t>3. Seller Vendor Loan (Sandra Note; H11: 0=Cash, 1=PIK)</t>
        </is>
      </c>
      <c r="E11" s="50">
        <f>+G11</f>
        <v/>
      </c>
      <c r="F11" s="202">
        <f>'LBO Summary'!F13*0.055/'LBO Summary'!F7</f>
        <v/>
      </c>
      <c r="G11" s="40" t="n">
        <v>0.05</v>
      </c>
      <c r="H11" s="92" t="n">
        <v>1</v>
      </c>
      <c r="I11" s="84" t="n">
        <v>8</v>
      </c>
      <c r="J11" s="1">
        <f>'LBO Summary'!F28</f>
        <v/>
      </c>
      <c r="M11" s="89">
        <f>+I11</f>
        <v/>
      </c>
    </row>
    <row r="12">
      <c r="D12" s="113" t="inlineStr">
        <is>
          <t>TLB mandatory annual amortisation (% — 0.0% = Bullet)</t>
        </is>
      </c>
      <c r="E12" s="200" t="n">
        <v>0</v>
      </c>
    </row>
    <row r="13">
      <c r="D13" s="115" t="inlineStr">
        <is>
          <t>TLB optional cash sweep (% — 0.0% = Hold to maturity)</t>
        </is>
      </c>
      <c r="E13" s="203" t="n">
        <v>0.85</v>
      </c>
    </row>
    <row r="14">
      <c r="D14" s="115" t="inlineStr">
        <is>
          <t>4. RCF Committed Limit (€m — Seasonal Negative-NOF Backstop)</t>
        </is>
      </c>
      <c r="E14" s="94" t="n">
        <v>1000</v>
      </c>
      <c r="G14" s="40" t="n">
        <v>0.02</v>
      </c>
    </row>
    <row r="15">
      <c r="D15" s="113" t="inlineStr">
        <is>
          <t>RCF Drawn Rate (E15) &amp; Undrawn Commitment Fee % p.a. (G15)</t>
        </is>
      </c>
      <c r="E15" s="50">
        <f>+$F$7+G14</f>
        <v/>
      </c>
      <c r="G15" s="88" t="n">
        <v>0.0075</v>
      </c>
    </row>
    <row r="16">
      <c r="D16" s="115" t="inlineStr">
        <is>
          <t>SFA Net Leverage Covenant Headroom % (E16) &amp; Min DSCR (G16)</t>
        </is>
      </c>
      <c r="E16" s="203" t="n">
        <v>0.25</v>
      </c>
      <c r="G16" s="95" t="n">
        <v>1.25</v>
      </c>
    </row>
    <row r="18" ht="13.95" customHeight="1" s="114">
      <c r="C18" s="14" t="inlineStr">
        <is>
          <t>Debt Sched</t>
        </is>
      </c>
      <c r="D18" s="14" t="n"/>
      <c r="E18" s="69" t="inlineStr">
        <is>
          <t>31-Jan</t>
        </is>
      </c>
      <c r="F18" s="69" t="inlineStr">
        <is>
          <t>31-Jan</t>
        </is>
      </c>
      <c r="G18" s="69" t="inlineStr">
        <is>
          <t>31-Jan</t>
        </is>
      </c>
      <c r="H18" s="69" t="inlineStr">
        <is>
          <t>31-Jan</t>
        </is>
      </c>
      <c r="I18" s="69" t="inlineStr">
        <is>
          <t>31-Jan</t>
        </is>
      </c>
      <c r="J18" s="69" t="inlineStr">
        <is>
          <t>31-Jan</t>
        </is>
      </c>
      <c r="K18" s="69" t="inlineStr">
        <is>
          <t>31-Jan</t>
        </is>
      </c>
      <c r="L18" s="69" t="inlineStr">
        <is>
          <t>31-Jan</t>
        </is>
      </c>
      <c r="M18" s="14" t="n"/>
    </row>
    <row r="19" ht="13.95" customHeight="1" s="114">
      <c r="C19" s="14" t="inlineStr">
        <is>
          <t>€m</t>
        </is>
      </c>
      <c r="D19" s="14" t="inlineStr">
        <is>
          <t>100% Consolidated Group Line Item</t>
        </is>
      </c>
      <c r="E19" s="153" t="n">
        <v>2025</v>
      </c>
      <c r="F19" s="154">
        <f>+E19+1</f>
        <v/>
      </c>
      <c r="G19" s="154">
        <f>+F19+1</f>
        <v/>
      </c>
      <c r="H19" s="154">
        <f>+G19+1</f>
        <v/>
      </c>
      <c r="I19" s="154">
        <f>+H19+1</f>
        <v/>
      </c>
      <c r="J19" s="154">
        <f>+I19+1</f>
        <v/>
      </c>
      <c r="K19" s="154">
        <f>+J19+1</f>
        <v/>
      </c>
      <c r="L19" s="154">
        <f>+K19+1</f>
        <v/>
      </c>
      <c r="M19" s="14" t="n"/>
    </row>
    <row r="20">
      <c r="D20" s="115" t="inlineStr">
        <is>
          <t>1A. Senior Term Loan A (TLA — 7y Amortising Bank Tranche)</t>
        </is>
      </c>
    </row>
    <row r="21">
      <c r="D21" s="113" t="inlineStr">
        <is>
          <t>BoP TLA</t>
        </is>
      </c>
      <c r="E21" s="1" t="n">
        <v>0</v>
      </c>
      <c r="F21" s="1">
        <f>+E24</f>
        <v/>
      </c>
      <c r="G21" s="1">
        <f>+F24</f>
        <v/>
      </c>
      <c r="H21" s="1">
        <f>+G24</f>
        <v/>
      </c>
      <c r="I21" s="1">
        <f>+H24</f>
        <v/>
      </c>
      <c r="J21" s="1">
        <f>+I24</f>
        <v/>
      </c>
      <c r="K21" s="1">
        <f>+J24</f>
        <v/>
      </c>
      <c r="L21" s="1">
        <f>+K24</f>
        <v/>
      </c>
    </row>
    <row r="22">
      <c r="D22" s="113" t="inlineStr">
        <is>
          <t>Initial draw at closing</t>
        </is>
      </c>
      <c r="E22" s="81">
        <f>+J8</f>
        <v/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</row>
    <row r="23">
      <c r="D23" s="113" t="inlineStr">
        <is>
          <t>Scheduled repayment</t>
        </is>
      </c>
      <c r="E23" s="1" t="n">
        <v>0</v>
      </c>
      <c r="F23" s="1">
        <f>-MIN(F21,$E$24*F$25)</f>
        <v/>
      </c>
      <c r="G23" s="1">
        <f>-MIN(G21,$E$24*G$25)</f>
        <v/>
      </c>
      <c r="H23" s="1">
        <f>-MIN(H21,$E$24*H$25)</f>
        <v/>
      </c>
      <c r="I23" s="1">
        <f>-MIN(I21,$E$24*I$25)</f>
        <v/>
      </c>
      <c r="J23" s="1">
        <f>-MIN(J21,$E$24*J$25)</f>
        <v/>
      </c>
      <c r="K23" s="1">
        <f>-MIN(K21,$E$24*K$25)</f>
        <v/>
      </c>
      <c r="L23" s="1">
        <f>-MIN(L21,$E$24*L$25)</f>
        <v/>
      </c>
    </row>
    <row r="24">
      <c r="D24" s="54" t="inlineStr">
        <is>
          <t>EoP TLA</t>
        </is>
      </c>
      <c r="E24" s="55">
        <f>+SUM(E21:E23)</f>
        <v/>
      </c>
      <c r="F24" s="55">
        <f>+SUM(F21:F23)</f>
        <v/>
      </c>
      <c r="G24" s="55">
        <f>+SUM(G21:G23)</f>
        <v/>
      </c>
      <c r="H24" s="55">
        <f>+SUM(H21:H23)</f>
        <v/>
      </c>
      <c r="I24" s="55">
        <f>+SUM(I21:I23)</f>
        <v/>
      </c>
      <c r="J24" s="55">
        <f>+SUM(J21:J23)</f>
        <v/>
      </c>
      <c r="K24" s="55">
        <f>+SUM(K21:K23)</f>
        <v/>
      </c>
      <c r="L24" s="55">
        <f>+SUM(L21:L23)</f>
        <v/>
      </c>
    </row>
    <row r="25">
      <c r="D25" s="79" t="inlineStr">
        <is>
          <t>TLA scheduled amortisation %</t>
        </is>
      </c>
      <c r="F25" s="204" t="n">
        <v>0.05</v>
      </c>
      <c r="G25" s="204" t="n">
        <v>0.1</v>
      </c>
      <c r="H25" s="204" t="n">
        <v>0.15</v>
      </c>
      <c r="I25" s="204" t="n">
        <v>0.15</v>
      </c>
      <c r="J25" s="204">
        <f>20%</f>
        <v/>
      </c>
      <c r="K25" s="204" t="n">
        <v>0.2</v>
      </c>
      <c r="L25" s="204">
        <f>1-SUM(F25:K25)</f>
        <v/>
      </c>
      <c r="M25" s="205">
        <f>+SUM(F25:L25)-1</f>
        <v/>
      </c>
    </row>
    <row r="26">
      <c r="D26" s="113" t="inlineStr">
        <is>
          <t>TLA cash interest (on Average Balance)</t>
        </is>
      </c>
      <c r="F26" s="1">
        <f>-$E$8*AVERAGE(F21,F24)</f>
        <v/>
      </c>
      <c r="G26" s="1">
        <f>-$E$8*AVERAGE(G21,G24)</f>
        <v/>
      </c>
      <c r="H26" s="1">
        <f>-$E$8*AVERAGE(H21,H24)</f>
        <v/>
      </c>
      <c r="I26" s="1">
        <f>-$E$8*AVERAGE(I21,I24)</f>
        <v/>
      </c>
      <c r="J26" s="1">
        <f>-$E$8*AVERAGE(J21,J24)</f>
        <v/>
      </c>
      <c r="K26" s="1">
        <f>-$E$8*AVERAGE(K21,K24)</f>
        <v/>
      </c>
      <c r="L26" s="1">
        <f>-$E$8*AVERAGE(L21,L24)</f>
        <v/>
      </c>
    </row>
    <row r="28">
      <c r="D28" s="115" t="inlineStr">
        <is>
          <t>1B. Senior Term Loan B (TLB — 7y Institutional Bullet)</t>
        </is>
      </c>
    </row>
    <row r="29">
      <c r="D29" s="113" t="inlineStr">
        <is>
          <t>BoP TLB</t>
        </is>
      </c>
      <c r="E29" s="1" t="n">
        <v>0</v>
      </c>
      <c r="F29" s="1">
        <f>+E34</f>
        <v/>
      </c>
      <c r="G29" s="1">
        <f>+F34</f>
        <v/>
      </c>
      <c r="H29" s="1">
        <f>+G34</f>
        <v/>
      </c>
      <c r="I29" s="1">
        <f>+H34</f>
        <v/>
      </c>
      <c r="J29" s="1">
        <f>+I34</f>
        <v/>
      </c>
      <c r="K29" s="1">
        <f>+J34</f>
        <v/>
      </c>
      <c r="L29" s="1">
        <f>+K34</f>
        <v/>
      </c>
    </row>
    <row r="30">
      <c r="D30" s="113" t="inlineStr">
        <is>
          <t>Initial draw at closing</t>
        </is>
      </c>
      <c r="E30" s="81">
        <f>+J9</f>
        <v/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</row>
    <row r="31">
      <c r="D31" s="113" t="inlineStr">
        <is>
          <t>Mandatory amortisation (% in E12)</t>
        </is>
      </c>
      <c r="E31" s="1" t="n">
        <v>0</v>
      </c>
      <c r="F31" s="1">
        <f>-MIN(F29,$E$34*F$35)</f>
        <v/>
      </c>
      <c r="G31" s="1">
        <f>-MIN(G29,$E$34*G$35)</f>
        <v/>
      </c>
      <c r="H31" s="1">
        <f>-MIN(H29,$E$34*H$35)</f>
        <v/>
      </c>
      <c r="I31" s="1">
        <f>-MIN(I29,$E$34*I$35)</f>
        <v/>
      </c>
      <c r="J31" s="1">
        <f>-MIN(J29,$E$34*J$35)</f>
        <v/>
      </c>
      <c r="K31" s="1">
        <f>-MIN(K29,$E$34*K$35)</f>
        <v/>
      </c>
      <c r="L31" s="1">
        <f>-MIN(L29,$E$34*L$35)</f>
        <v/>
      </c>
    </row>
    <row r="32">
      <c r="D32" s="79" t="inlineStr">
        <is>
          <t>TLB balance before optional sweep</t>
        </is>
      </c>
      <c r="E32" s="1">
        <f>+SUM(E29:E31)</f>
        <v/>
      </c>
      <c r="F32" s="97">
        <f>+SUM(F29:F31)</f>
        <v/>
      </c>
      <c r="G32" s="97">
        <f>+SUM(G29:G31)</f>
        <v/>
      </c>
      <c r="H32" s="97">
        <f>+SUM(H29:H31)</f>
        <v/>
      </c>
      <c r="I32" s="97">
        <f>+SUM(I29:I31)</f>
        <v/>
      </c>
      <c r="J32" s="97">
        <f>+SUM(J29:J31)</f>
        <v/>
      </c>
      <c r="K32" s="97">
        <f>+SUM(K29:K31)</f>
        <v/>
      </c>
      <c r="L32" s="97">
        <f>+SUM(L29:L31)</f>
        <v/>
      </c>
    </row>
    <row r="33">
      <c r="D33" s="113" t="inlineStr">
        <is>
          <t>Optional cash sweep (% in E13 — 85.0% Active)</t>
        </is>
      </c>
      <c r="E33" s="1" t="n">
        <v>0</v>
      </c>
      <c r="F33" s="1">
        <f>-MIN(F32,MAX(0,F87+F88)*$E$13)</f>
        <v/>
      </c>
      <c r="G33" s="1">
        <f>-MIN(G32,MAX(0,G87+G88)*$E$13)</f>
        <v/>
      </c>
      <c r="H33" s="1">
        <f>-MIN(H32,MAX(0,H87+H88)*$E$13)</f>
        <v/>
      </c>
      <c r="I33" s="1">
        <f>-MIN(I32,MAX(0,I87+I88)*$E$13)</f>
        <v/>
      </c>
      <c r="J33" s="1">
        <f>-MIN(J32,MAX(0,J87+J88)*$E$13)</f>
        <v/>
      </c>
      <c r="K33" s="1">
        <f>-MIN(K32,MAX(0,K87+K88)*$E$13)</f>
        <v/>
      </c>
      <c r="L33" s="1">
        <f>-MIN(L32,MAX(0,L87+L88)*$E$13)</f>
        <v/>
      </c>
    </row>
    <row r="34">
      <c r="D34" s="54" t="inlineStr">
        <is>
          <t>EoP TLB</t>
        </is>
      </c>
      <c r="E34" s="55">
        <f>+E32+E33</f>
        <v/>
      </c>
      <c r="F34" s="55">
        <f>+F32+F33</f>
        <v/>
      </c>
      <c r="G34" s="55">
        <f>+G32+G33</f>
        <v/>
      </c>
      <c r="H34" s="55">
        <f>+H32+H33</f>
        <v/>
      </c>
      <c r="I34" s="55">
        <f>+I32+I33</f>
        <v/>
      </c>
      <c r="J34" s="55">
        <f>+J32+J33</f>
        <v/>
      </c>
      <c r="K34" s="55">
        <f>+K32+K33</f>
        <v/>
      </c>
      <c r="L34" s="55">
        <f>+L32+L33</f>
        <v/>
      </c>
    </row>
    <row r="35">
      <c r="D35" s="79" t="inlineStr">
        <is>
          <t>TLB mandatory amortisation %</t>
        </is>
      </c>
      <c r="F35" s="205">
        <f>+$E$12</f>
        <v/>
      </c>
      <c r="G35" s="205">
        <f>+$E$12</f>
        <v/>
      </c>
      <c r="H35" s="205">
        <f>+$E$12</f>
        <v/>
      </c>
      <c r="I35" s="205">
        <f>+$E$12</f>
        <v/>
      </c>
      <c r="J35" s="205">
        <f>+$E$12</f>
        <v/>
      </c>
      <c r="K35" s="205">
        <f>+$E$12</f>
        <v/>
      </c>
      <c r="L35" s="205">
        <f>+$E$12</f>
        <v/>
      </c>
    </row>
    <row r="36">
      <c r="D36" s="113" t="inlineStr">
        <is>
          <t>TLB cash interest (on Average Balance)</t>
        </is>
      </c>
      <c r="F36" s="1">
        <f>-$E$9*AVERAGE(F29,F32)</f>
        <v/>
      </c>
      <c r="G36" s="1">
        <f>-$E$9*AVERAGE(G29,G32)</f>
        <v/>
      </c>
      <c r="H36" s="1">
        <f>-$E$9*AVERAGE(H29,H32)</f>
        <v/>
      </c>
      <c r="I36" s="1">
        <f>-$E$9*AVERAGE(I29,I32)</f>
        <v/>
      </c>
      <c r="J36" s="1">
        <f>-$E$9*AVERAGE(J29,J32)</f>
        <v/>
      </c>
      <c r="K36" s="1">
        <f>-$E$9*AVERAGE(K29,K32)</f>
        <v/>
      </c>
      <c r="L36" s="1">
        <f>-$E$9*AVERAGE(L29,L32)</f>
        <v/>
      </c>
    </row>
    <row r="38">
      <c r="D38" s="115" t="inlineStr">
        <is>
          <t>2. Subordinated / Mezzanine Debt (Bullet — Cash or PIK Switch in H10)</t>
        </is>
      </c>
    </row>
    <row r="39">
      <c r="D39" s="113" t="inlineStr">
        <is>
          <t>BoP Subordinated debt</t>
        </is>
      </c>
      <c r="E39" s="1" t="n">
        <v>0</v>
      </c>
      <c r="F39" s="1">
        <f>+E43</f>
        <v/>
      </c>
      <c r="G39" s="1">
        <f>+F43</f>
        <v/>
      </c>
      <c r="H39" s="1">
        <f>+G43</f>
        <v/>
      </c>
      <c r="I39" s="1">
        <f>+H43</f>
        <v/>
      </c>
      <c r="J39" s="1">
        <f>+I43</f>
        <v/>
      </c>
      <c r="K39" s="1">
        <f>+J43</f>
        <v/>
      </c>
      <c r="L39" s="1">
        <f>+K43</f>
        <v/>
      </c>
    </row>
    <row r="40">
      <c r="D40" s="113" t="inlineStr">
        <is>
          <t>Initial draw at closing</t>
        </is>
      </c>
      <c r="E40" s="81">
        <f>+J10</f>
        <v/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</row>
    <row r="41">
      <c r="D41" s="113" t="inlineStr">
        <is>
          <t>PIK interest capitalised (if H10 = 1)</t>
        </is>
      </c>
      <c r="E41" s="1" t="n">
        <v>0</v>
      </c>
      <c r="F41" s="1">
        <f>+IF($H$10=1,F39*$E$10,0)</f>
        <v/>
      </c>
      <c r="G41" s="1">
        <f>+IF($H$10=1,G39*$E$10,0)</f>
        <v/>
      </c>
      <c r="H41" s="1">
        <f>+IF($H$10=1,H39*$E$10,0)</f>
        <v/>
      </c>
      <c r="I41" s="1">
        <f>+IF($H$10=1,I39*$E$10,0)</f>
        <v/>
      </c>
      <c r="J41" s="1">
        <f>+IF($H$10=1,J39*$E$10,0)</f>
        <v/>
      </c>
      <c r="K41" s="1">
        <f>+IF($H$10=1,K39*$E$10,0)</f>
        <v/>
      </c>
      <c r="L41" s="1">
        <f>+IF($H$10=1,L39*$E$10,0)</f>
        <v/>
      </c>
    </row>
    <row r="42">
      <c r="D42" s="113" t="inlineStr">
        <is>
          <t>Scheduled repayment (Bullet at maturity)</t>
        </is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</row>
    <row r="43">
      <c r="D43" s="54" t="inlineStr">
        <is>
          <t>EoP Subordinated debt</t>
        </is>
      </c>
      <c r="E43" s="55">
        <f>+SUM(E39:E42)</f>
        <v/>
      </c>
      <c r="F43" s="55">
        <f>+SUM(F39:F42)</f>
        <v/>
      </c>
      <c r="G43" s="55">
        <f>+SUM(G39:G42)</f>
        <v/>
      </c>
      <c r="H43" s="55">
        <f>+SUM(H39:H42)</f>
        <v/>
      </c>
      <c r="I43" s="55">
        <f>+SUM(I39:I42)</f>
        <v/>
      </c>
      <c r="J43" s="55">
        <f>+SUM(J39:J42)</f>
        <v/>
      </c>
      <c r="K43" s="55">
        <f>+SUM(K39:K42)</f>
        <v/>
      </c>
      <c r="L43" s="55">
        <f>+SUM(L39:L42)</f>
        <v/>
      </c>
    </row>
    <row r="44">
      <c r="D44" s="113" t="inlineStr">
        <is>
          <t>Subordinated cash interest (if H10 = 0)</t>
        </is>
      </c>
      <c r="F44" s="1">
        <f>+IF($H$10=0,-F39*$E$10,0)</f>
        <v/>
      </c>
      <c r="G44" s="1">
        <f>+IF($H$10=0,-G39*$E$10,0)</f>
        <v/>
      </c>
      <c r="H44" s="1">
        <f>+IF($H$10=0,-H39*$E$10,0)</f>
        <v/>
      </c>
      <c r="I44" s="1">
        <f>+IF($H$10=0,-I39*$E$10,0)</f>
        <v/>
      </c>
      <c r="J44" s="1">
        <f>+IF($H$10=0,-J39*$E$10,0)</f>
        <v/>
      </c>
      <c r="K44" s="1">
        <f>+IF($H$10=0,-K39*$E$10,0)</f>
        <v/>
      </c>
      <c r="L44" s="1">
        <f>+IF($H$10=0,-L39*$E$10,0)</f>
        <v/>
      </c>
    </row>
    <row r="45">
      <c r="D45" s="79" t="inlineStr">
        <is>
          <t>Subordinated total P&amp;L interest (for Art. 16 LIS Tax Model)</t>
        </is>
      </c>
      <c r="F45" s="97">
        <f>-F39*$E$10</f>
        <v/>
      </c>
      <c r="G45" s="97">
        <f>-G39*$E$10</f>
        <v/>
      </c>
      <c r="H45" s="97">
        <f>-H39*$E$10</f>
        <v/>
      </c>
      <c r="I45" s="97">
        <f>-I39*$E$10</f>
        <v/>
      </c>
      <c r="J45" s="97">
        <f>-J39*$E$10</f>
        <v/>
      </c>
      <c r="K45" s="97">
        <f>-K39*$E$10</f>
        <v/>
      </c>
      <c r="L45" s="97">
        <f>-L39*$E$10</f>
        <v/>
      </c>
    </row>
    <row r="47">
      <c r="D47" s="115" t="inlineStr">
        <is>
          <t>3. Seller Vendor Loan (Sandra Deferred Note — Cash or PIK Switch in H11)</t>
        </is>
      </c>
    </row>
    <row r="48">
      <c r="D48" s="113" t="inlineStr">
        <is>
          <t>BoP Vendor Loan</t>
        </is>
      </c>
      <c r="E48" s="1" t="n">
        <v>0</v>
      </c>
      <c r="F48" s="1">
        <f>+E52</f>
        <v/>
      </c>
      <c r="G48" s="1">
        <f>+F52</f>
        <v/>
      </c>
      <c r="H48" s="1">
        <f>+G52</f>
        <v/>
      </c>
      <c r="I48" s="1">
        <f>+H52</f>
        <v/>
      </c>
      <c r="J48" s="1">
        <f>+I52</f>
        <v/>
      </c>
      <c r="K48" s="1">
        <f>+J52</f>
        <v/>
      </c>
      <c r="L48" s="1">
        <f>+K52</f>
        <v/>
      </c>
    </row>
    <row r="49">
      <c r="D49" s="113" t="inlineStr">
        <is>
          <t>Initial draw at closing</t>
        </is>
      </c>
      <c r="E49" s="81">
        <f>+J11</f>
        <v/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</row>
    <row r="50">
      <c r="D50" s="113" t="inlineStr">
        <is>
          <t>PIK interest capitalised (if H11 = 1)</t>
        </is>
      </c>
      <c r="E50" s="1" t="n">
        <v>0</v>
      </c>
      <c r="F50" s="1">
        <f>+IF($H$11=1,F48*$E$11,0)</f>
        <v/>
      </c>
      <c r="G50" s="1">
        <f>+IF($H$11=1,G48*$E$11,0)</f>
        <v/>
      </c>
      <c r="H50" s="1">
        <f>+IF($H$11=1,H48*$E$11,0)</f>
        <v/>
      </c>
      <c r="I50" s="1">
        <f>+IF($H$11=1,I48*$E$11,0)</f>
        <v/>
      </c>
      <c r="J50" s="1">
        <f>+IF($H$11=1,J48*$E$11,0)</f>
        <v/>
      </c>
      <c r="K50" s="1">
        <f>+IF($H$11=1,K48*$E$11,0)</f>
        <v/>
      </c>
      <c r="L50" s="1">
        <f>+IF($H$11=1,L48*$E$11,0)</f>
        <v/>
      </c>
    </row>
    <row r="51">
      <c r="D51" s="113" t="inlineStr">
        <is>
          <t>Scheduled repayment (Bullet at exit)</t>
        </is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</row>
    <row r="52">
      <c r="D52" s="54" t="inlineStr">
        <is>
          <t>EoP Vendor Loan</t>
        </is>
      </c>
      <c r="E52" s="55">
        <f>+SUM(E48:E51)</f>
        <v/>
      </c>
      <c r="F52" s="55">
        <f>+SUM(F48:F51)</f>
        <v/>
      </c>
      <c r="G52" s="55">
        <f>+SUM(G48:G51)</f>
        <v/>
      </c>
      <c r="H52" s="55">
        <f>+SUM(H48:H51)</f>
        <v/>
      </c>
      <c r="I52" s="55">
        <f>+SUM(I48:I51)</f>
        <v/>
      </c>
      <c r="J52" s="55">
        <f>+SUM(J48:J51)</f>
        <v/>
      </c>
      <c r="K52" s="55">
        <f>+SUM(K48:K51)</f>
        <v/>
      </c>
      <c r="L52" s="55">
        <f>+SUM(L48:L51)</f>
        <v/>
      </c>
    </row>
    <row r="53">
      <c r="D53" s="113" t="inlineStr">
        <is>
          <t>Vendor Loan cash interest (if H11 = 0)</t>
        </is>
      </c>
      <c r="F53" s="1">
        <f>+IF($H$11=0,-F48*$E$11,0)</f>
        <v/>
      </c>
      <c r="G53" s="1">
        <f>+IF($H$11=0,-G48*$E$11,0)</f>
        <v/>
      </c>
      <c r="H53" s="1">
        <f>+IF($H$11=0,-H48*$E$11,0)</f>
        <v/>
      </c>
      <c r="I53" s="1">
        <f>+IF($H$11=0,-I48*$E$11,0)</f>
        <v/>
      </c>
      <c r="J53" s="1">
        <f>+IF($H$11=0,-J48*$E$11,0)</f>
        <v/>
      </c>
      <c r="K53" s="1">
        <f>+IF($H$11=0,-K48*$E$11,0)</f>
        <v/>
      </c>
      <c r="L53" s="1">
        <f>+IF($H$11=0,-L48*$E$11,0)</f>
        <v/>
      </c>
    </row>
    <row r="54">
      <c r="D54" s="79" t="inlineStr">
        <is>
          <t>Vendor Loan total P&amp;L interest (for Art. 16 LIS Tax Model)</t>
        </is>
      </c>
      <c r="F54" s="97">
        <f>-F48*$E$11</f>
        <v/>
      </c>
      <c r="G54" s="97">
        <f>-G48*$E$11</f>
        <v/>
      </c>
      <c r="H54" s="97">
        <f>-H48*$E$11</f>
        <v/>
      </c>
      <c r="I54" s="97">
        <f>-I48*$E$11</f>
        <v/>
      </c>
      <c r="J54" s="97">
        <f>-J48*$E$11</f>
        <v/>
      </c>
      <c r="K54" s="97">
        <f>-K48*$E$11</f>
        <v/>
      </c>
      <c r="L54" s="97">
        <f>-L48*$E$11</f>
        <v/>
      </c>
    </row>
    <row r="56">
      <c r="D56" s="115" t="inlineStr">
        <is>
          <t>4. Revolving Credit Facility (RCF — Seasonal Negative-NOF Backstop)</t>
        </is>
      </c>
    </row>
    <row r="57">
      <c r="D57" s="113" t="inlineStr">
        <is>
          <t>BoP RCF drawn</t>
        </is>
      </c>
      <c r="E57" s="1" t="n">
        <v>0</v>
      </c>
      <c r="F57" s="1">
        <f>+E59</f>
        <v/>
      </c>
      <c r="G57" s="1">
        <f>+F59</f>
        <v/>
      </c>
      <c r="H57" s="1">
        <f>+G59</f>
        <v/>
      </c>
      <c r="I57" s="1">
        <f>+H59</f>
        <v/>
      </c>
      <c r="J57" s="1">
        <f>+I59</f>
        <v/>
      </c>
      <c r="K57" s="1">
        <f>+J59</f>
        <v/>
      </c>
      <c r="L57" s="1">
        <f>+K59</f>
        <v/>
      </c>
    </row>
    <row r="58">
      <c r="D58" s="113" t="inlineStr">
        <is>
          <t>RCF draw / (repayment)</t>
        </is>
      </c>
      <c r="E58" s="1">
        <f>'LBO Summary'!F29</f>
        <v/>
      </c>
      <c r="F58" s="1">
        <f>+IF(F87&lt;0,MIN($E$14-F57,-F87),-MIN(F57,F87))</f>
        <v/>
      </c>
      <c r="G58" s="1">
        <f>+IF(G87&lt;0,MIN($E$14-G57,-G87),-MIN(G57,G87))</f>
        <v/>
      </c>
      <c r="H58" s="1">
        <f>+IF(H87&lt;0,MIN($E$14-H57,-H87),-MIN(H57,H87))</f>
        <v/>
      </c>
      <c r="I58" s="1">
        <f>+IF(I87&lt;0,MIN($E$14-I57,-I87),-MIN(I57,I87))</f>
        <v/>
      </c>
      <c r="J58" s="1">
        <f>+IF(J87&lt;0,MIN($E$14-J57,-J87),-MIN(J57,J87))</f>
        <v/>
      </c>
      <c r="K58" s="1">
        <f>+IF(K87&lt;0,MIN($E$14-K57,-K87),-MIN(K57,K87))</f>
        <v/>
      </c>
      <c r="L58" s="1">
        <f>+IF(L87&lt;0,MIN($E$14-L57,-L87),-MIN(L57,L87))</f>
        <v/>
      </c>
    </row>
    <row r="59">
      <c r="D59" s="54" t="inlineStr">
        <is>
          <t>EoP RCF drawn</t>
        </is>
      </c>
      <c r="E59" s="55">
        <f>+E57+E58</f>
        <v/>
      </c>
      <c r="F59" s="55">
        <f>+F57+F58</f>
        <v/>
      </c>
      <c r="G59" s="55">
        <f>+G57+G58</f>
        <v/>
      </c>
      <c r="H59" s="55">
        <f>+H57+H58</f>
        <v/>
      </c>
      <c r="I59" s="55">
        <f>+I57+I58</f>
        <v/>
      </c>
      <c r="J59" s="55">
        <f>+J57+J58</f>
        <v/>
      </c>
      <c r="K59" s="55">
        <f>+K57+K58</f>
        <v/>
      </c>
      <c r="L59" s="55">
        <f>+L57+L58</f>
        <v/>
      </c>
    </row>
    <row r="60">
      <c r="D60" s="79" t="inlineStr">
        <is>
          <t>Undrawn RCF available (Liquidity buffer for Negative NOF swings)</t>
        </is>
      </c>
      <c r="E60" s="97">
        <f>+$E$14-E59</f>
        <v/>
      </c>
      <c r="F60" s="97">
        <f>+MAX(0,$E$14-F59)</f>
        <v/>
      </c>
      <c r="G60" s="97">
        <f>+MAX(0,$E$14-G59)</f>
        <v/>
      </c>
      <c r="H60" s="97">
        <f>+MAX(0,$E$14-H59)</f>
        <v/>
      </c>
      <c r="I60" s="97">
        <f>+MAX(0,$E$14-I59)</f>
        <v/>
      </c>
      <c r="J60" s="97">
        <f>+MAX(0,$E$14-J59)</f>
        <v/>
      </c>
      <c r="K60" s="97">
        <f>+MAX(0,$E$14-K59)</f>
        <v/>
      </c>
      <c r="L60" s="97">
        <f>+MAX(0,$E$14-L59)</f>
        <v/>
      </c>
    </row>
    <row r="61">
      <c r="D61" s="115" t="inlineStr">
        <is>
          <t>Total RCF drawn interest &amp; undrawn commitment fee (% in G15)</t>
        </is>
      </c>
      <c r="F61" s="38">
        <f>-(F57*$E$15+MAX(0,$E$14-F57)*$G$15)</f>
        <v/>
      </c>
      <c r="G61" s="38">
        <f>-(G57*$E$15+MAX(0,$E$14-G57)*$G$15)</f>
        <v/>
      </c>
      <c r="H61" s="38">
        <f>-(H57*$E$15+MAX(0,$E$14-H57)*$G$15)</f>
        <v/>
      </c>
      <c r="I61" s="38">
        <f>-(I57*$E$15+MAX(0,$E$14-I57)*$G$15)</f>
        <v/>
      </c>
      <c r="J61" s="38">
        <f>-(J57*$E$15+MAX(0,$E$14-J57)*$G$15)</f>
        <v/>
      </c>
      <c r="K61" s="38">
        <f>-(K57*$E$15+MAX(0,$E$14-K57)*$G$15)</f>
        <v/>
      </c>
      <c r="L61" s="38">
        <f>-(L57*$E$15+MAX(0,$E$14-L57)*$G$15)</f>
        <v/>
      </c>
    </row>
    <row r="63">
      <c r="D63" s="115" t="inlineStr">
        <is>
          <t>Total LBO Debt Summary (100% Consolidated Group)</t>
        </is>
      </c>
    </row>
    <row r="64">
      <c r="D64" s="113" t="inlineStr">
        <is>
          <t>BoP Total Gross Debt</t>
        </is>
      </c>
      <c r="E64" s="1" t="n">
        <v>0</v>
      </c>
      <c r="F64" s="1">
        <f>+F21+F29+F39+F48+F57</f>
        <v/>
      </c>
      <c r="G64" s="1">
        <f>+G21+G29+G39+G48+G57</f>
        <v/>
      </c>
      <c r="H64" s="1">
        <f>+H21+H29+H39+H48+H57</f>
        <v/>
      </c>
      <c r="I64" s="1">
        <f>+I21+I29+I39+I48+I57</f>
        <v/>
      </c>
      <c r="J64" s="1">
        <f>+J21+J29+J39+J48+J57</f>
        <v/>
      </c>
      <c r="K64" s="1">
        <f>+K21+K29+K39+K48+K57</f>
        <v/>
      </c>
      <c r="L64" s="1">
        <f>+L21+L29+L39+L48+L57</f>
        <v/>
      </c>
    </row>
    <row r="65">
      <c r="D65" s="113" t="inlineStr">
        <is>
          <t>Mandatory Scheduled Principal Repayment (TLA + TLB)</t>
        </is>
      </c>
      <c r="E65" s="1">
        <f>+E22+E30+E40+E49+E58</f>
        <v/>
      </c>
      <c r="F65" s="1">
        <f>+F23+F31</f>
        <v/>
      </c>
      <c r="G65" s="1">
        <f>+G23+G31</f>
        <v/>
      </c>
      <c r="H65" s="1">
        <f>+H23+H31</f>
        <v/>
      </c>
      <c r="I65" s="1">
        <f>+I23+I31</f>
        <v/>
      </c>
      <c r="J65" s="1">
        <f>+J23+J31</f>
        <v/>
      </c>
      <c r="K65" s="1">
        <f>+K23+K31</f>
        <v/>
      </c>
      <c r="L65" s="1">
        <f>+L23+L31</f>
        <v/>
      </c>
    </row>
    <row r="66">
      <c r="D66" s="113" t="inlineStr">
        <is>
          <t>Optional TLB Cash Sweep &amp; RCF Net Change</t>
        </is>
      </c>
      <c r="E66" s="1" t="n">
        <v>0</v>
      </c>
      <c r="F66" s="1">
        <f>+F33+F58</f>
        <v/>
      </c>
      <c r="G66" s="1">
        <f>+G33+G58</f>
        <v/>
      </c>
      <c r="H66" s="1">
        <f>+H33+H58</f>
        <v/>
      </c>
      <c r="I66" s="1">
        <f>+I33+I58</f>
        <v/>
      </c>
      <c r="J66" s="1">
        <f>+J33+J58</f>
        <v/>
      </c>
      <c r="K66" s="1">
        <f>+K33+K58</f>
        <v/>
      </c>
      <c r="L66" s="1">
        <f>+L33+L58</f>
        <v/>
      </c>
    </row>
    <row r="67">
      <c r="D67" s="79" t="inlineStr">
        <is>
          <t>EoP Senior Gross Debt (TLA + TLB + RCF)</t>
        </is>
      </c>
      <c r="E67" s="97">
        <f>+E24+E34+E59</f>
        <v/>
      </c>
      <c r="F67" s="97">
        <f>+F24+F34+F59</f>
        <v/>
      </c>
      <c r="G67" s="97">
        <f>+G24+G34+G59</f>
        <v/>
      </c>
      <c r="H67" s="97">
        <f>+H24+H34+H59</f>
        <v/>
      </c>
      <c r="I67" s="97">
        <f>+I24+I34+I59</f>
        <v/>
      </c>
      <c r="J67" s="97">
        <f>+J24+J34+J59</f>
        <v/>
      </c>
      <c r="K67" s="97">
        <f>+K24+K34+K59</f>
        <v/>
      </c>
      <c r="L67" s="97">
        <f>+L24+L34+L59</f>
        <v/>
      </c>
    </row>
    <row r="68">
      <c r="D68" s="42" t="inlineStr">
        <is>
          <t>EoP Total Gross Financial Debt (incl. Sub &amp; Vendor Loan)</t>
        </is>
      </c>
      <c r="E68" s="43">
        <f>+E24+E34+E43+E52+E59</f>
        <v/>
      </c>
      <c r="F68" s="43">
        <f>+F24+F34+F43+F52+F59</f>
        <v/>
      </c>
      <c r="G68" s="43">
        <f>+G24+G34+G43+G52+G59</f>
        <v/>
      </c>
      <c r="H68" s="43">
        <f>+H24+H34+H43+H52+H59</f>
        <v/>
      </c>
      <c r="I68" s="43">
        <f>+I24+I34+I43+I52+I59</f>
        <v/>
      </c>
      <c r="J68" s="43">
        <f>+J24+J34+J43+J52+J59</f>
        <v/>
      </c>
      <c r="K68" s="43">
        <f>+K24+K34+K43+K52+K59</f>
        <v/>
      </c>
      <c r="L68" s="43">
        <f>+L24+L34+L43+L52+L59</f>
        <v/>
      </c>
    </row>
    <row r="69">
      <c r="D69" s="113" t="inlineStr">
        <is>
          <t>Less: EoP 100% Inditex Cash Balance</t>
        </is>
      </c>
      <c r="E69" s="1">
        <f>-E93</f>
        <v/>
      </c>
      <c r="F69" s="1">
        <f>-F93</f>
        <v/>
      </c>
      <c r="G69" s="1">
        <f>-G93</f>
        <v/>
      </c>
      <c r="H69" s="1">
        <f>-H93</f>
        <v/>
      </c>
      <c r="I69" s="1">
        <f>-I93</f>
        <v/>
      </c>
      <c r="J69" s="1">
        <f>-J93</f>
        <v/>
      </c>
      <c r="K69" s="1">
        <f>-K93</f>
        <v/>
      </c>
      <c r="L69" s="1">
        <f>-L93</f>
        <v/>
      </c>
    </row>
    <row r="70">
      <c r="D70" s="54" t="inlineStr">
        <is>
          <t>EoP Total Net Financial Debt (100% Consolidated Group)</t>
        </is>
      </c>
      <c r="E70" s="55">
        <f>+E68+E69</f>
        <v/>
      </c>
      <c r="F70" s="55">
        <f>+F68+F69</f>
        <v/>
      </c>
      <c r="G70" s="55">
        <f>+G68+G69</f>
        <v/>
      </c>
      <c r="H70" s="55">
        <f>+H68+H69</f>
        <v/>
      </c>
      <c r="I70" s="55">
        <f>+I68+I69</f>
        <v/>
      </c>
      <c r="J70" s="55">
        <f>+J68+J69</f>
        <v/>
      </c>
      <c r="K70" s="55">
        <f>+K68+K69</f>
        <v/>
      </c>
      <c r="L70" s="55">
        <f>+L68+L69</f>
        <v/>
      </c>
    </row>
    <row r="71">
      <c r="D71" s="115" t="inlineStr">
        <is>
          <t>Total Cash Interest &amp; Commitment Fees Paid (CF Outflow)</t>
        </is>
      </c>
      <c r="F71" s="38">
        <f>+F26+F36+F44+F53+F61</f>
        <v/>
      </c>
      <c r="G71" s="38">
        <f>+G26+G36+G44+G53+G61</f>
        <v/>
      </c>
      <c r="H71" s="38">
        <f>+H26+H36+H44+H53+H61</f>
        <v/>
      </c>
      <c r="I71" s="38">
        <f>+I26+I36+I44+I53+I61</f>
        <v/>
      </c>
      <c r="J71" s="38">
        <f>+J26+J36+J44+J53+J61</f>
        <v/>
      </c>
      <c r="K71" s="38">
        <f>+K26+K36+K44+K53+K61</f>
        <v/>
      </c>
      <c r="L71" s="38">
        <f>+L26+L36+L44+L53+L61</f>
        <v/>
      </c>
    </row>
    <row r="72">
      <c r="D72" s="79" t="inlineStr">
        <is>
          <t>Total P&amp;L Financial Expense (Cash + PIK — to Tax &amp; WACC)</t>
        </is>
      </c>
      <c r="F72" s="97">
        <f>+F26+F36+F45+F54+F61</f>
        <v/>
      </c>
      <c r="G72" s="97">
        <f>+G26+G36+G45+G54+G61</f>
        <v/>
      </c>
      <c r="H72" s="97">
        <f>+H26+H36+H45+H54+H61</f>
        <v/>
      </c>
      <c r="I72" s="97">
        <f>+I26+I36+I45+I54+I61</f>
        <v/>
      </c>
      <c r="J72" s="97">
        <f>+J26+J36+J45+J54+J61</f>
        <v/>
      </c>
      <c r="K72" s="97">
        <f>+K26+K36+K45+K54+K61</f>
        <v/>
      </c>
      <c r="L72" s="97">
        <f>+L26+L36+L45+L54+L61</f>
        <v/>
      </c>
    </row>
    <row r="75" ht="13.95" customHeight="1" s="114">
      <c r="C75" s="14" t="inlineStr">
        <is>
          <t>Cash Flow</t>
        </is>
      </c>
      <c r="D75" s="14" t="n"/>
      <c r="E75" s="69" t="inlineStr">
        <is>
          <t>31-Jan</t>
        </is>
      </c>
      <c r="F75" s="69" t="inlineStr">
        <is>
          <t>31-Jan</t>
        </is>
      </c>
      <c r="G75" s="69" t="inlineStr">
        <is>
          <t>31-Jan</t>
        </is>
      </c>
      <c r="H75" s="69" t="inlineStr">
        <is>
          <t>31-Jan</t>
        </is>
      </c>
      <c r="I75" s="69" t="inlineStr">
        <is>
          <t>31-Jan</t>
        </is>
      </c>
      <c r="J75" s="69" t="inlineStr">
        <is>
          <t>31-Jan</t>
        </is>
      </c>
      <c r="K75" s="69" t="inlineStr">
        <is>
          <t>31-Jan</t>
        </is>
      </c>
      <c r="L75" s="69" t="inlineStr">
        <is>
          <t>31-Jan</t>
        </is>
      </c>
      <c r="M75" s="14" t="n"/>
    </row>
    <row r="76" ht="13.95" customHeight="1" s="114">
      <c r="C76" s="14" t="inlineStr">
        <is>
          <t>€m</t>
        </is>
      </c>
      <c r="D76" s="14" t="inlineStr">
        <is>
          <t>100% Consolidated Group Line Item</t>
        </is>
      </c>
      <c r="E76" s="153" t="n">
        <v>2025</v>
      </c>
      <c r="F76" s="154">
        <f>+E76+1</f>
        <v/>
      </c>
      <c r="G76" s="154">
        <f>+F76+1</f>
        <v/>
      </c>
      <c r="H76" s="154">
        <f>+G76+1</f>
        <v/>
      </c>
      <c r="I76" s="154">
        <f>+H76+1</f>
        <v/>
      </c>
      <c r="J76" s="154">
        <f>+I76+1</f>
        <v/>
      </c>
      <c r="K76" s="154">
        <f>+J76+1</f>
        <v/>
      </c>
      <c r="L76" s="154">
        <f>+K76+1</f>
        <v/>
      </c>
      <c r="M76" s="14" t="n"/>
    </row>
    <row r="77">
      <c r="B77" s="9" t="n">
        <v>5</v>
      </c>
      <c r="D77" s="115" t="inlineStr">
        <is>
          <t>100% Inditex Pre-IFRS 16 Cash EBITDA</t>
        </is>
      </c>
      <c r="F77" s="38">
        <f>'Active Case'!M30</f>
        <v/>
      </c>
      <c r="G77" s="38">
        <f>'Active Case'!N30</f>
        <v/>
      </c>
      <c r="H77" s="38">
        <f>'Active Case'!O30</f>
        <v/>
      </c>
      <c r="I77" s="38">
        <f>'Active Case'!P30</f>
        <v/>
      </c>
      <c r="J77" s="38">
        <f>'Active Case'!Q30</f>
        <v/>
      </c>
      <c r="K77" s="38">
        <f>'Active Case'!R30</f>
        <v/>
      </c>
      <c r="L77" s="38">
        <f>'Active Case'!S30</f>
        <v/>
      </c>
    </row>
    <row r="78">
      <c r="D78" s="113" t="inlineStr">
        <is>
          <t>Cash Corporate Income Tax Paid (from Tax &amp; WACC — Art. 16 LIS)</t>
        </is>
      </c>
      <c r="F78" s="1">
        <f>'Tax &amp; WACC'!F22</f>
        <v/>
      </c>
      <c r="G78" s="1">
        <f>'Tax &amp; WACC'!G22</f>
        <v/>
      </c>
      <c r="H78" s="1">
        <f>'Tax &amp; WACC'!H22</f>
        <v/>
      </c>
      <c r="I78" s="1">
        <f>'Tax &amp; WACC'!I22</f>
        <v/>
      </c>
      <c r="J78" s="1">
        <f>'Tax &amp; WACC'!J22</f>
        <v/>
      </c>
      <c r="K78" s="1">
        <f>'Tax &amp; WACC'!K22</f>
        <v/>
      </c>
      <c r="L78" s="1">
        <f>'Tax &amp; WACC'!L22</f>
        <v/>
      </c>
    </row>
    <row r="79">
      <c r="D79" s="113" t="inlineStr">
        <is>
          <t>Cash Flow from Working Capital (-ΔNOF — 100% Inditex)</t>
        </is>
      </c>
      <c r="F79" s="1">
        <f>'Active Case'!M44</f>
        <v/>
      </c>
      <c r="G79" s="1">
        <f>'Active Case'!N44</f>
        <v/>
      </c>
      <c r="H79" s="1">
        <f>'Active Case'!O44</f>
        <v/>
      </c>
      <c r="I79" s="1">
        <f>'Active Case'!P44</f>
        <v/>
      </c>
      <c r="J79" s="1">
        <f>'Active Case'!Q44</f>
        <v/>
      </c>
      <c r="K79" s="1">
        <f>'Active Case'!R44</f>
        <v/>
      </c>
      <c r="L79" s="1">
        <f>'Active Case'!S44</f>
        <v/>
      </c>
    </row>
    <row r="80">
      <c r="D80" s="113" t="inlineStr">
        <is>
          <t>Maintenance Capex (100% Inditex)</t>
        </is>
      </c>
      <c r="F80" s="1">
        <f>-'Active Case'!M52</f>
        <v/>
      </c>
      <c r="G80" s="1">
        <f>-'Active Case'!N52</f>
        <v/>
      </c>
      <c r="H80" s="1">
        <f>-'Active Case'!O52</f>
        <v/>
      </c>
      <c r="I80" s="1">
        <f>-'Active Case'!P52</f>
        <v/>
      </c>
      <c r="J80" s="1">
        <f>-'Active Case'!Q52</f>
        <v/>
      </c>
      <c r="K80" s="1">
        <f>-'Active Case'!R52</f>
        <v/>
      </c>
      <c r="L80" s="1">
        <f>-'Active Case'!S52</f>
        <v/>
      </c>
    </row>
    <row r="81">
      <c r="D81" s="54" t="inlineStr">
        <is>
          <t>CFADS excl. Expansion Capex (Bank DSCR Numerator)</t>
        </is>
      </c>
      <c r="E81" s="54" t="n"/>
      <c r="F81" s="55">
        <f>+SUM(F77:F80)</f>
        <v/>
      </c>
      <c r="G81" s="55">
        <f>+SUM(G77:G80)</f>
        <v/>
      </c>
      <c r="H81" s="55">
        <f>+SUM(H77:H80)</f>
        <v/>
      </c>
      <c r="I81" s="55">
        <f>+SUM(I77:I80)</f>
        <v/>
      </c>
      <c r="J81" s="55">
        <f>+SUM(J77:J80)</f>
        <v/>
      </c>
      <c r="K81" s="55">
        <f>+SUM(K77:K80)</f>
        <v/>
      </c>
      <c r="L81" s="55">
        <f>+SUM(L77:L80)</f>
        <v/>
      </c>
    </row>
    <row r="82">
      <c r="D82" s="113" t="inlineStr">
        <is>
          <t>Expansion Capex (US Flagships &amp; Logistics — 100% Organic)</t>
        </is>
      </c>
      <c r="F82" s="1">
        <f>-'Active Case'!M53</f>
        <v/>
      </c>
      <c r="G82" s="1">
        <f>-'Active Case'!N53</f>
        <v/>
      </c>
      <c r="H82" s="1">
        <f>-'Active Case'!O53</f>
        <v/>
      </c>
      <c r="I82" s="1">
        <f>-'Active Case'!P53</f>
        <v/>
      </c>
      <c r="J82" s="1">
        <f>-'Active Case'!Q53</f>
        <v/>
      </c>
      <c r="K82" s="1">
        <f>-'Active Case'!R53</f>
        <v/>
      </c>
      <c r="L82" s="1">
        <f>-'Active Case'!S53</f>
        <v/>
      </c>
    </row>
    <row r="83">
      <c r="D83" s="54" t="inlineStr">
        <is>
          <t>Cash Flow Available for Debt Service (100% Consolidated CFADS)</t>
        </is>
      </c>
      <c r="E83" s="54" t="n"/>
      <c r="F83" s="55">
        <f>+F81+F82</f>
        <v/>
      </c>
      <c r="G83" s="55">
        <f>+G81+G82</f>
        <v/>
      </c>
      <c r="H83" s="55">
        <f>+H81+H82</f>
        <v/>
      </c>
      <c r="I83" s="55">
        <f>+I81+I82</f>
        <v/>
      </c>
      <c r="J83" s="55">
        <f>+J81+J82</f>
        <v/>
      </c>
      <c r="K83" s="55">
        <f>+K81+K82</f>
        <v/>
      </c>
      <c r="L83" s="55">
        <f>+L81+L82</f>
        <v/>
      </c>
    </row>
    <row r="84">
      <c r="D84" s="113" t="inlineStr">
        <is>
          <t>Cash Interest &amp; RCF Commitment Fees Paid</t>
        </is>
      </c>
      <c r="F84" s="1">
        <f>+F71</f>
        <v/>
      </c>
      <c r="G84" s="1">
        <f>+G71</f>
        <v/>
      </c>
      <c r="H84" s="1">
        <f>+H71</f>
        <v/>
      </c>
      <c r="I84" s="1">
        <f>+I71</f>
        <v/>
      </c>
      <c r="J84" s="1">
        <f>+J71</f>
        <v/>
      </c>
      <c r="K84" s="1">
        <f>+K71</f>
        <v/>
      </c>
      <c r="L84" s="1">
        <f>+L71</f>
        <v/>
      </c>
    </row>
    <row r="85">
      <c r="D85" s="113" t="inlineStr">
        <is>
          <t>Mandatory Scheduled Debt Amortisation (TLA + TLB)</t>
        </is>
      </c>
      <c r="F85" s="1">
        <f>+F65</f>
        <v/>
      </c>
      <c r="G85" s="1">
        <f>+G65</f>
        <v/>
      </c>
      <c r="H85" s="1">
        <f>+H65</f>
        <v/>
      </c>
      <c r="I85" s="1">
        <f>+I65</f>
        <v/>
      </c>
      <c r="J85" s="1">
        <f>+J65</f>
        <v/>
      </c>
      <c r="K85" s="1">
        <f>+K65</f>
        <v/>
      </c>
      <c r="L85" s="1">
        <f>+L65</f>
        <v/>
      </c>
    </row>
    <row r="86">
      <c r="D86" s="54" t="inlineStr">
        <is>
          <t>Free Cash Flow to Equity after Mandatory Debt Service</t>
        </is>
      </c>
      <c r="E86" s="54" t="n"/>
      <c r="F86" s="55">
        <f>+F83+F84+F85</f>
        <v/>
      </c>
      <c r="G86" s="55">
        <f>+G83+G84+G85</f>
        <v/>
      </c>
      <c r="H86" s="55">
        <f>+H83+H84+H85</f>
        <v/>
      </c>
      <c r="I86" s="55">
        <f>+I83+I84+I85</f>
        <v/>
      </c>
      <c r="J86" s="55">
        <f>+J83+J84+J85</f>
        <v/>
      </c>
      <c r="K86" s="55">
        <f>+K83+K84+K85</f>
        <v/>
      </c>
      <c r="L86" s="55">
        <f>+L83+L84+L85</f>
        <v/>
      </c>
    </row>
    <row r="87">
      <c r="D87" s="79" t="inlineStr">
        <is>
          <t>Excess Cash Available above €1,000m Minimum Operational Cash</t>
        </is>
      </c>
      <c r="F87" s="97">
        <f>+(F92-$E$92)+F86</f>
        <v/>
      </c>
      <c r="G87" s="97">
        <f>+(G92-$E$92)+G86</f>
        <v/>
      </c>
      <c r="H87" s="97">
        <f>+(H92-$E$92)+H86</f>
        <v/>
      </c>
      <c r="I87" s="97">
        <f>+(I92-$E$92)+I86</f>
        <v/>
      </c>
      <c r="J87" s="97">
        <f>+(J92-$E$92)+J86</f>
        <v/>
      </c>
      <c r="K87" s="97">
        <f>+(K92-$E$92)+K86</f>
        <v/>
      </c>
      <c r="L87" s="97">
        <f>+(L92-$E$92)+L86</f>
        <v/>
      </c>
    </row>
    <row r="88">
      <c r="D88" s="113" t="inlineStr">
        <is>
          <t>RCF Draw / (Repayment)</t>
        </is>
      </c>
      <c r="F88" s="1">
        <f>+F58</f>
        <v/>
      </c>
      <c r="G88" s="1">
        <f>+G58</f>
        <v/>
      </c>
      <c r="H88" s="1">
        <f>+H58</f>
        <v/>
      </c>
      <c r="I88" s="1">
        <f>+I58</f>
        <v/>
      </c>
      <c r="J88" s="1">
        <f>+J58</f>
        <v/>
      </c>
      <c r="K88" s="1">
        <f>+K58</f>
        <v/>
      </c>
      <c r="L88" s="1">
        <f>+L58</f>
        <v/>
      </c>
    </row>
    <row r="89">
      <c r="D89" s="113" t="inlineStr">
        <is>
          <t>Optional TLB Cash Sweep (85.0% of Excess Cash)</t>
        </is>
      </c>
      <c r="F89" s="1">
        <f>+F33</f>
        <v/>
      </c>
      <c r="G89" s="1">
        <f>+G33</f>
        <v/>
      </c>
      <c r="H89" s="1">
        <f>+H33</f>
        <v/>
      </c>
      <c r="I89" s="1">
        <f>+I33</f>
        <v/>
      </c>
      <c r="J89" s="1">
        <f>+J33</f>
        <v/>
      </c>
      <c r="K89" s="1">
        <f>+K33</f>
        <v/>
      </c>
      <c r="L89" s="1">
        <f>+L33</f>
        <v/>
      </c>
    </row>
    <row r="90">
      <c r="D90" s="54" t="inlineStr">
        <is>
          <t>Net Change in Cash Balance</t>
        </is>
      </c>
      <c r="E90" s="54" t="n"/>
      <c r="F90" s="55">
        <f>+F86+F88+F89</f>
        <v/>
      </c>
      <c r="G90" s="55">
        <f>+G86+G88+G89</f>
        <v/>
      </c>
      <c r="H90" s="55">
        <f>+H86+H88+H89</f>
        <v/>
      </c>
      <c r="I90" s="55">
        <f>+I86+I88+I89</f>
        <v/>
      </c>
      <c r="J90" s="55">
        <f>+J86+J88+J89</f>
        <v/>
      </c>
      <c r="K90" s="55">
        <f>+K86+K88+K89</f>
        <v/>
      </c>
      <c r="L90" s="55">
        <f>+L86+L88+L89</f>
        <v/>
      </c>
    </row>
    <row r="92">
      <c r="D92" s="113" t="inlineStr">
        <is>
          <t>BoP 100% Inditex Cash Balance</t>
        </is>
      </c>
      <c r="E92" s="81">
        <f>'LBO Summary'!F18</f>
        <v/>
      </c>
      <c r="F92" s="1">
        <f>+E93</f>
        <v/>
      </c>
      <c r="G92" s="1">
        <f>+F93</f>
        <v/>
      </c>
      <c r="H92" s="1">
        <f>+G93</f>
        <v/>
      </c>
      <c r="I92" s="1">
        <f>+H93</f>
        <v/>
      </c>
      <c r="J92" s="1">
        <f>+I93</f>
        <v/>
      </c>
      <c r="K92" s="1">
        <f>+J93</f>
        <v/>
      </c>
      <c r="L92" s="1">
        <f>+K93</f>
        <v/>
      </c>
    </row>
    <row r="93">
      <c r="D93" s="42" t="inlineStr">
        <is>
          <t>EoP 100% Inditex Cash Balance (Retained on Balance Sheet)</t>
        </is>
      </c>
      <c r="E93" s="43">
        <f>+E92</f>
        <v/>
      </c>
      <c r="F93" s="43">
        <f>+F92+F90</f>
        <v/>
      </c>
      <c r="G93" s="43">
        <f>+G92+G90</f>
        <v/>
      </c>
      <c r="H93" s="43">
        <f>+H92+H90</f>
        <v/>
      </c>
      <c r="I93" s="43">
        <f>+I92+I90</f>
        <v/>
      </c>
      <c r="J93" s="43">
        <f>+J92+J90</f>
        <v/>
      </c>
      <c r="K93" s="43">
        <f>+K92+K90</f>
        <v/>
      </c>
      <c r="L93" s="43">
        <f>+L92+L90</f>
        <v/>
      </c>
    </row>
    <row r="95" ht="16.05" customHeight="1" s="114">
      <c r="A95" s="12" t="inlineStr">
        <is>
          <t>&gt;</t>
        </is>
      </c>
      <c r="B95" s="12" t="inlineStr">
        <is>
          <t>&gt;</t>
        </is>
      </c>
      <c r="C95" s="13" t="inlineStr">
        <is>
          <t>4. Financial Covenants Monitoring (SFA Net Leverage Step-Downs, Headroom &amp; DSCR — 2025A–2032E)</t>
        </is>
      </c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</row>
    <row r="97">
      <c r="B97" s="9" t="n">
        <v>6</v>
      </c>
      <c r="D97" s="113" t="inlineStr">
        <is>
          <t>Senior Net Debt / 100% Pre-IFRS 16 EBITDA (x)</t>
        </is>
      </c>
      <c r="E97" s="98">
        <f>+(E67-E93)/'Active Case'!L30</f>
        <v/>
      </c>
      <c r="F97" s="98">
        <f>+(F67-F93)/'Active Case'!M30</f>
        <v/>
      </c>
      <c r="G97" s="98">
        <f>+(G67-G93)/'Active Case'!N30</f>
        <v/>
      </c>
      <c r="H97" s="98">
        <f>+(H67-H93)/'Active Case'!O30</f>
        <v/>
      </c>
      <c r="I97" s="98">
        <f>+(I67-I93)/'Active Case'!P30</f>
        <v/>
      </c>
      <c r="J97" s="98">
        <f>+(J67-J93)/'Active Case'!Q30</f>
        <v/>
      </c>
      <c r="K97" s="98">
        <f>+(K67-K93)/'Active Case'!R30</f>
        <v/>
      </c>
      <c r="L97" s="98">
        <f>+(L67-L93)/'Active Case'!S30</f>
        <v/>
      </c>
    </row>
    <row r="98">
      <c r="D98" s="115" t="inlineStr">
        <is>
          <t>Total Bank &amp; Sub Net Debt (excl. Vendor Loan) / EBITDA (x)</t>
        </is>
      </c>
      <c r="E98" s="99">
        <f>+(E67+E43-E93)/'Active Case'!L30</f>
        <v/>
      </c>
      <c r="F98" s="99">
        <f>+(F67+F43-F93)/'Active Case'!M30</f>
        <v/>
      </c>
      <c r="G98" s="99">
        <f>+(G67+G43-G93)/'Active Case'!N30</f>
        <v/>
      </c>
      <c r="H98" s="99">
        <f>+(H67+H43-H93)/'Active Case'!O30</f>
        <v/>
      </c>
      <c r="I98" s="99">
        <f>+(I67+I43-I93)/'Active Case'!P30</f>
        <v/>
      </c>
      <c r="J98" s="99">
        <f>+(J67+J43-J93)/'Active Case'!Q30</f>
        <v/>
      </c>
      <c r="K98" s="99">
        <f>+(K67+K43-K93)/'Active Case'!R30</f>
        <v/>
      </c>
      <c r="L98" s="99">
        <f>+(L67+L43-L93)/'Active Case'!S30</f>
        <v/>
      </c>
    </row>
    <row r="99">
      <c r="D99" s="115" t="inlineStr">
        <is>
          <t>Total Net Debt (incl. Vendor Loan) / 100% EBITDA (x)</t>
        </is>
      </c>
      <c r="E99" s="99">
        <f>+E70/'Active Case'!L30</f>
        <v/>
      </c>
      <c r="F99" s="99">
        <f>+F70/'Active Case'!M30</f>
        <v/>
      </c>
      <c r="G99" s="99">
        <f>+G70/'Active Case'!N30</f>
        <v/>
      </c>
      <c r="H99" s="99">
        <f>+H70/'Active Case'!O30</f>
        <v/>
      </c>
      <c r="I99" s="99">
        <f>+I70/'Active Case'!P30</f>
        <v/>
      </c>
      <c r="J99" s="99">
        <f>+J70/'Active Case'!Q30</f>
        <v/>
      </c>
      <c r="K99" s="99">
        <f>+K70/'Active Case'!R30</f>
        <v/>
      </c>
      <c r="L99" s="99">
        <f>+L70/'Active Case'!S30</f>
        <v/>
      </c>
    </row>
    <row r="100">
      <c r="D100" s="79" t="inlineStr">
        <is>
          <t>SFA Max Net Leverage Covenant (25% Entry Headroom + Step-Downs)</t>
        </is>
      </c>
      <c r="E100" s="100">
        <f>+ROUNDUP((E99/(1-$E$16))*20,0)/20</f>
        <v/>
      </c>
      <c r="F100" s="100">
        <f>+MAX(2,E100-0.65)</f>
        <v/>
      </c>
      <c r="G100" s="100">
        <f>+MAX(2,F100-0.65)</f>
        <v/>
      </c>
      <c r="H100" s="100">
        <f>+MAX(2,G100-0.65)</f>
        <v/>
      </c>
      <c r="I100" s="100">
        <f>+MAX(2,H100-0.65)</f>
        <v/>
      </c>
      <c r="J100" s="100">
        <f>+MAX(2,I100-0.65)</f>
        <v/>
      </c>
      <c r="K100" s="100">
        <f>+MAX(2,J100-0.65)</f>
        <v/>
      </c>
      <c r="L100" s="100">
        <f>+MAX(2,K100-0.65)</f>
        <v/>
      </c>
    </row>
    <row r="101">
      <c r="D101" s="113" t="inlineStr">
        <is>
          <t>Net Leverage Covenant Cushion (Max Covenant - Actual)</t>
        </is>
      </c>
      <c r="E101" s="98">
        <f>+E100-E99</f>
        <v/>
      </c>
      <c r="F101" s="98">
        <f>+F100-F99</f>
        <v/>
      </c>
      <c r="G101" s="98">
        <f>+G100-G99</f>
        <v/>
      </c>
      <c r="H101" s="98">
        <f>+H100-H99</f>
        <v/>
      </c>
      <c r="I101" s="98">
        <f>+I100-I99</f>
        <v/>
      </c>
      <c r="J101" s="98">
        <f>+J100-J99</f>
        <v/>
      </c>
      <c r="K101" s="98">
        <f>+K100-K99</f>
        <v/>
      </c>
      <c r="L101" s="98">
        <f>+L100-L99</f>
        <v/>
      </c>
    </row>
    <row r="102">
      <c r="D102" s="54" t="inlineStr">
        <is>
          <t>Net Leverage Covenant Compliance Check</t>
        </is>
      </c>
      <c r="E102" s="101">
        <f>IF(E99&lt;=E100,"COMPLIANT","BREACH")</f>
        <v/>
      </c>
      <c r="F102" s="101">
        <f>IF(F99&lt;=F100,"COMPLIANT","BREACH")</f>
        <v/>
      </c>
      <c r="G102" s="101">
        <f>IF(G99&lt;=G100,"COMPLIANT","BREACH")</f>
        <v/>
      </c>
      <c r="H102" s="101">
        <f>IF(H99&lt;=H100,"COMPLIANT","BREACH")</f>
        <v/>
      </c>
      <c r="I102" s="101">
        <f>IF(I99&lt;=I100,"COMPLIANT","BREACH")</f>
        <v/>
      </c>
      <c r="J102" s="101">
        <f>IF(J99&lt;=J100,"COMPLIANT","BREACH")</f>
        <v/>
      </c>
      <c r="K102" s="101">
        <f>IF(K99&lt;=K100,"COMPLIANT","BREACH")</f>
        <v/>
      </c>
      <c r="L102" s="101">
        <f>IF(L99&lt;=L100,"COMPLIANT","BREACH")</f>
        <v/>
      </c>
    </row>
    <row r="104">
      <c r="D104" s="113" t="inlineStr">
        <is>
          <t>Total Debt Service (Cash Interest + Mandatory TLA/TLB Principal)</t>
        </is>
      </c>
      <c r="F104" s="1">
        <f>-(F84+F85)</f>
        <v/>
      </c>
      <c r="G104" s="1">
        <f>-(G84+G85)</f>
        <v/>
      </c>
      <c r="H104" s="1">
        <f>-(H84+H85)</f>
        <v/>
      </c>
      <c r="I104" s="1">
        <f>-(I84+I85)</f>
        <v/>
      </c>
      <c r="J104" s="1">
        <f>-(J84+J85)</f>
        <v/>
      </c>
      <c r="K104" s="1">
        <f>-(K84+K85)</f>
        <v/>
      </c>
      <c r="L104" s="1">
        <f>-(L84+L85)</f>
        <v/>
      </c>
    </row>
    <row r="105">
      <c r="D105" s="115" t="inlineStr">
        <is>
          <t>DSCR (CFADS excl. Expansion Capex / Debt Service — Project Atlantic)</t>
        </is>
      </c>
      <c r="F105" s="99">
        <f>+F81/F104</f>
        <v/>
      </c>
      <c r="G105" s="99">
        <f>+G81/G104</f>
        <v/>
      </c>
      <c r="H105" s="99">
        <f>+H81/H104</f>
        <v/>
      </c>
      <c r="I105" s="99">
        <f>+I81/I104</f>
        <v/>
      </c>
      <c r="J105" s="99">
        <f>+J81/J104</f>
        <v/>
      </c>
      <c r="K105" s="99">
        <f>+K81/K104</f>
        <v/>
      </c>
      <c r="L105" s="99">
        <f>+L81/L104</f>
        <v/>
      </c>
    </row>
    <row r="106">
      <c r="D106" s="113" t="inlineStr">
        <is>
          <t>DSCR (Total CFADS after US Expansion Capex / Debt Service)</t>
        </is>
      </c>
      <c r="F106" s="98">
        <f>+F83/F104</f>
        <v/>
      </c>
      <c r="G106" s="98">
        <f>+G83/G104</f>
        <v/>
      </c>
      <c r="H106" s="98">
        <f>+H83/H104</f>
        <v/>
      </c>
      <c r="I106" s="98">
        <f>+I83/I104</f>
        <v/>
      </c>
      <c r="J106" s="98">
        <f>+J83/J104</f>
        <v/>
      </c>
      <c r="K106" s="98">
        <f>+K83/K104</f>
        <v/>
      </c>
      <c r="L106" s="98">
        <f>+L83/L104</f>
        <v/>
      </c>
    </row>
    <row r="107">
      <c r="D107" s="79" t="inlineStr">
        <is>
          <t>Minimum DSCR Covenant Threshold (G16)</t>
        </is>
      </c>
      <c r="F107" s="100">
        <f>+$G$16</f>
        <v/>
      </c>
      <c r="G107" s="100">
        <f>+$G$16</f>
        <v/>
      </c>
      <c r="H107" s="100">
        <f>+$G$16</f>
        <v/>
      </c>
      <c r="I107" s="100">
        <f>+$G$16</f>
        <v/>
      </c>
      <c r="J107" s="100">
        <f>+$G$16</f>
        <v/>
      </c>
      <c r="K107" s="100">
        <f>+$G$16</f>
        <v/>
      </c>
      <c r="L107" s="100">
        <f>+$G$16</f>
        <v/>
      </c>
    </row>
    <row r="108">
      <c r="D108" s="42" t="inlineStr">
        <is>
          <t>DSCR Covenant Compliance Check</t>
        </is>
      </c>
      <c r="E108" s="42" t="n"/>
      <c r="F108" s="102">
        <f>IF(F105&gt;=$G$16,"COMPLIANT","BREACH")</f>
        <v/>
      </c>
      <c r="G108" s="102">
        <f>IF(G105&gt;=$G$16,"COMPLIANT","BREACH")</f>
        <v/>
      </c>
      <c r="H108" s="102">
        <f>IF(H105&gt;=$G$16,"COMPLIANT","BREACH")</f>
        <v/>
      </c>
      <c r="I108" s="102">
        <f>IF(I105&gt;=$G$16,"COMPLIANT","BREACH")</f>
        <v/>
      </c>
      <c r="J108" s="102">
        <f>IF(J105&gt;=$G$16,"COMPLIANT","BREACH")</f>
        <v/>
      </c>
      <c r="K108" s="102">
        <f>IF(K105&gt;=$G$16,"COMPLIANT","BREACH")</f>
        <v/>
      </c>
      <c r="L108" s="102">
        <f>IF(L105&gt;=$G$16,"COMPLIANT","BREACH")</f>
        <v/>
      </c>
    </row>
    <row r="109">
      <c r="D109" s="79" t="inlineStr">
        <is>
          <t>Cash Interest Coverage Ratio (100% EBITDA / Cash Interest)</t>
        </is>
      </c>
      <c r="F109" s="100">
        <f>+F77/-F84</f>
        <v/>
      </c>
      <c r="G109" s="100">
        <f>+G77/-G84</f>
        <v/>
      </c>
      <c r="H109" s="100">
        <f>+H77/-H84</f>
        <v/>
      </c>
      <c r="I109" s="100">
        <f>+I77/-I84</f>
        <v/>
      </c>
      <c r="J109" s="100">
        <f>+J77/-J84</f>
        <v/>
      </c>
      <c r="K109" s="100">
        <f>+K77/-K84</f>
        <v/>
      </c>
      <c r="L109" s="100">
        <f>+L77/-L84</f>
        <v/>
      </c>
    </row>
  </sheetData>
  <dataValidations disablePrompts="1" count="1">
    <dataValidation sqref="H10 H11" showDropDown="0" showInputMessage="0" showErrorMessage="0" allowBlank="0" type="list">
      <formula1>"0,1"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4"/>
  <sheetViews>
    <sheetView showGridLines="0" workbookViewId="0">
      <selection activeCell="A1" sqref="A1"/>
    </sheetView>
  </sheetViews>
  <sheetFormatPr baseColWidth="10" defaultColWidth="9.140625" defaultRowHeight="10.2"/>
  <cols>
    <col width="2.85546875" customWidth="1" style="114" min="1" max="1"/>
    <col width="3.42578125" customWidth="1" style="114" min="2" max="2"/>
    <col width="4.42578125" customWidth="1" style="114" min="3" max="3"/>
    <col width="50" customWidth="1" style="114" min="4" max="4"/>
    <col width="12" customWidth="1" style="114" min="5" max="13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Tax &amp; WACC — 100% Fiscal Consolidation (Art. 58, 16.5 &amp; 16.1 LIS) &amp; Dynamic WACC Evolution (2025A–2032E)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4" ht="16.05" customHeight="1" s="114">
      <c r="A4" s="12" t="inlineStr">
        <is>
          <t>&gt;</t>
        </is>
      </c>
      <c r="B4" s="12" t="inlineStr">
        <is>
          <t>&gt;</t>
        </is>
      </c>
      <c r="C4" s="13" t="inlineStr">
        <is>
          <t>1. Spanish Corporate Tax Consolidation (Art. 58 LIS), Anti-LBO Test (Art. 16.5) &amp; 30% EBITDA Cap (Art. 16.1)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</row>
    <row r="6">
      <c r="B6" s="9" t="n">
        <v>7</v>
      </c>
      <c r="D6" s="14" t="inlineStr">
        <is>
          <t>Spanish Tax Consolidation &amp; WACC Parameters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  <row r="7">
      <c r="D7" s="113" t="inlineStr">
        <is>
          <t>Spanish Statutory Corporate Tax Rate (CIT %)</t>
        </is>
      </c>
      <c r="E7" s="88" t="n">
        <v>0.25</v>
      </c>
      <c r="G7" s="113" t="inlineStr">
        <is>
          <t>Risk-Free Rate — 10Y Spanish Bono (Rf %)</t>
        </is>
      </c>
      <c r="J7" s="88" t="n">
        <v>0.0315</v>
      </c>
    </row>
    <row r="8">
      <c r="D8" s="113" t="inlineStr">
        <is>
          <t>Art. 16.1 LIS Interest Deductibility Cap (% EBITDA)</t>
        </is>
      </c>
      <c r="E8" s="88" t="n">
        <v>0.3</v>
      </c>
      <c r="G8" s="113" t="inlineStr">
        <is>
          <t>Equity Market Risk Premium (ERP %)</t>
        </is>
      </c>
      <c r="J8" s="88" t="n">
        <v>0.055</v>
      </c>
    </row>
    <row r="9">
      <c r="D9" s="113" t="inlineStr">
        <is>
          <t>Art. 16.1 LIS Minimum Deductible Franchise (€m)</t>
        </is>
      </c>
      <c r="E9" s="94" t="n">
        <v>1</v>
      </c>
      <c r="G9" s="113" t="inlineStr">
        <is>
          <t>Inditex Unlevered Asset Beta (Beta_U)</t>
        </is>
      </c>
      <c r="J9" s="103" t="n">
        <v>0.78</v>
      </c>
    </row>
    <row r="10">
      <c r="D10" s="113" t="inlineStr">
        <is>
          <t>Art. 16.5 LIS Max LBO Debt / Purchase Value (70%)</t>
        </is>
      </c>
      <c r="E10" s="203" t="n">
        <v>0.7</v>
      </c>
      <c r="G10" s="113" t="inlineStr">
        <is>
          <t>Actual BidCo Acquisition Debt / Purchase Value</t>
        </is>
      </c>
      <c r="J10" s="137">
        <f>'LBO Summary'!L16</f>
        <v/>
      </c>
    </row>
    <row r="11">
      <c r="D11" s="113" t="inlineStr">
        <is>
          <t>Upfront Financing Fees Total (€m — Amortised)</t>
        </is>
      </c>
      <c r="E11" s="81">
        <f>'LBO Summary'!I30</f>
        <v/>
      </c>
      <c r="G11" s="113" t="inlineStr">
        <is>
          <t>Amortization Period for Upfront Fees (Yrs)</t>
        </is>
      </c>
      <c r="J11" s="104">
        <f>'LBO Summary'!L14</f>
        <v/>
      </c>
    </row>
    <row r="12" ht="13.95" customHeight="1" s="114">
      <c r="C12" s="14" t="inlineStr">
        <is>
          <t>CIT Model</t>
        </is>
      </c>
      <c r="D12" s="14" t="n"/>
      <c r="E12" s="69" t="inlineStr">
        <is>
          <t>31-Jan</t>
        </is>
      </c>
      <c r="F12" s="69" t="inlineStr">
        <is>
          <t>31-Jan</t>
        </is>
      </c>
      <c r="G12" s="69" t="inlineStr">
        <is>
          <t>31-Jan</t>
        </is>
      </c>
      <c r="H12" s="69" t="inlineStr">
        <is>
          <t>31-Jan</t>
        </is>
      </c>
      <c r="I12" s="69" t="inlineStr">
        <is>
          <t>31-Jan</t>
        </is>
      </c>
      <c r="J12" s="69" t="inlineStr">
        <is>
          <t>31-Jan</t>
        </is>
      </c>
      <c r="K12" s="69" t="inlineStr">
        <is>
          <t>31-Jan</t>
        </is>
      </c>
      <c r="L12" s="69" t="inlineStr">
        <is>
          <t>31-Jan</t>
        </is>
      </c>
      <c r="M12" s="14" t="n"/>
    </row>
    <row r="13" ht="13.95" customHeight="1" s="114">
      <c r="C13" s="14" t="inlineStr">
        <is>
          <t>€m</t>
        </is>
      </c>
      <c r="D13" s="14" t="inlineStr">
        <is>
          <t>100% Consolidated Group Line Item</t>
        </is>
      </c>
      <c r="E13" s="153" t="n">
        <v>2025</v>
      </c>
      <c r="F13" s="154">
        <f>+E13+1</f>
        <v/>
      </c>
      <c r="G13" s="154">
        <f>+F13+1</f>
        <v/>
      </c>
      <c r="H13" s="154">
        <f>+G13+1</f>
        <v/>
      </c>
      <c r="I13" s="154">
        <f>+H13+1</f>
        <v/>
      </c>
      <c r="J13" s="154">
        <f>+I13+1</f>
        <v/>
      </c>
      <c r="K13" s="154">
        <f>+J13+1</f>
        <v/>
      </c>
      <c r="L13" s="154">
        <f>+K13+1</f>
        <v/>
      </c>
      <c r="M13" s="14" t="n"/>
    </row>
    <row r="14">
      <c r="D14" s="115" t="inlineStr">
        <is>
          <t>100% Inditex Pre-IFRS 16 Cash EBITDA (€m)</t>
        </is>
      </c>
      <c r="E14" s="1">
        <f>'Active Case'!L30</f>
        <v/>
      </c>
      <c r="F14" s="38">
        <f>'Active Case'!M30</f>
        <v/>
      </c>
      <c r="G14" s="38">
        <f>'Active Case'!N30</f>
        <v/>
      </c>
      <c r="H14" s="38">
        <f>'Active Case'!O30</f>
        <v/>
      </c>
      <c r="I14" s="38">
        <f>'Active Case'!P30</f>
        <v/>
      </c>
      <c r="J14" s="38">
        <f>'Active Case'!Q30</f>
        <v/>
      </c>
      <c r="K14" s="38">
        <f>'Active Case'!R30</f>
        <v/>
      </c>
      <c r="L14" s="38">
        <f>'Active Case'!S30</f>
        <v/>
      </c>
    </row>
    <row r="15">
      <c r="D15" s="113" t="inlineStr">
        <is>
          <t>100% Inditex D&amp;A (Owned PP&amp;E + Intangibles)</t>
        </is>
      </c>
      <c r="E15" s="1">
        <f>'Active Case'!L32</f>
        <v/>
      </c>
      <c r="F15" s="1">
        <f>'Active Case'!M32</f>
        <v/>
      </c>
      <c r="G15" s="1">
        <f>'Active Case'!N32</f>
        <v/>
      </c>
      <c r="H15" s="1">
        <f>'Active Case'!O32</f>
        <v/>
      </c>
      <c r="I15" s="1">
        <f>'Active Case'!P32</f>
        <v/>
      </c>
      <c r="J15" s="1">
        <f>'Active Case'!Q32</f>
        <v/>
      </c>
      <c r="K15" s="1">
        <f>'Active Case'!R32</f>
        <v/>
      </c>
      <c r="L15" s="1">
        <f>'Active Case'!S32</f>
        <v/>
      </c>
    </row>
    <row r="16">
      <c r="D16" s="115" t="inlineStr">
        <is>
          <t>100% Inditex Operating EBIT (Unlevered Tax Base)</t>
        </is>
      </c>
      <c r="E16" s="38">
        <f>+E14+E15</f>
        <v/>
      </c>
      <c r="F16" s="38">
        <f>+F14+F15</f>
        <v/>
      </c>
      <c r="G16" s="38">
        <f>+G14+G15</f>
        <v/>
      </c>
      <c r="H16" s="38">
        <f>+H14+H15</f>
        <v/>
      </c>
      <c r="I16" s="38">
        <f>+I14+I15</f>
        <v/>
      </c>
      <c r="J16" s="38">
        <f>+J14+J15</f>
        <v/>
      </c>
      <c r="K16" s="38">
        <f>+K14+K15</f>
        <v/>
      </c>
      <c r="L16" s="38">
        <f>+L14+L15</f>
        <v/>
      </c>
    </row>
    <row r="17">
      <c r="D17" s="113" t="inlineStr">
        <is>
          <t>Gross BidCo LBO Financial Expenses (Cash + PIK Interest)</t>
        </is>
      </c>
      <c r="F17" s="1">
        <f>'Debt &amp; Covenants'!F72</f>
        <v/>
      </c>
      <c r="G17" s="1">
        <f>'Debt &amp; Covenants'!G72</f>
        <v/>
      </c>
      <c r="H17" s="1">
        <f>'Debt &amp; Covenants'!H72</f>
        <v/>
      </c>
      <c r="I17" s="1">
        <f>'Debt &amp; Covenants'!I72</f>
        <v/>
      </c>
      <c r="J17" s="1">
        <f>'Debt &amp; Covenants'!J72</f>
        <v/>
      </c>
      <c r="K17" s="1">
        <f>'Debt &amp; Covenants'!K72</f>
        <v/>
      </c>
      <c r="L17" s="1">
        <f>'Debt &amp; Covenants'!L72</f>
        <v/>
      </c>
    </row>
    <row r="18">
      <c r="D18" s="113" t="inlineStr">
        <is>
          <t>Tax Amortization of Upfront Structuring Fees (Linear over 7y)</t>
        </is>
      </c>
      <c r="F18" s="1">
        <f>-$E$11/$J$11</f>
        <v/>
      </c>
      <c r="G18" s="1">
        <f>-$E$11/$J$11</f>
        <v/>
      </c>
      <c r="H18" s="1">
        <f>-$E$11/$J$11</f>
        <v/>
      </c>
      <c r="I18" s="1">
        <f>-$E$11/$J$11</f>
        <v/>
      </c>
      <c r="J18" s="1">
        <f>-$E$11/$J$11</f>
        <v/>
      </c>
      <c r="K18" s="1">
        <f>-$E$11/$J$11</f>
        <v/>
      </c>
      <c r="L18" s="1">
        <f>-$E$11/$J$11</f>
        <v/>
      </c>
    </row>
    <row r="19">
      <c r="D19" s="79" t="inlineStr">
        <is>
          <t>Consolidated Accounting EBT before Art. 16.1 LIS Cap</t>
        </is>
      </c>
      <c r="F19" s="97">
        <f>+F16+F17+F18</f>
        <v/>
      </c>
      <c r="G19" s="97">
        <f>+G16+G17+G18</f>
        <v/>
      </c>
      <c r="H19" s="97">
        <f>+H16+H17+H18</f>
        <v/>
      </c>
      <c r="I19" s="97">
        <f>+I16+I17+I18</f>
        <v/>
      </c>
      <c r="J19" s="97">
        <f>+J16+J17+J18</f>
        <v/>
      </c>
      <c r="K19" s="97">
        <f>+K16+K17+K18</f>
        <v/>
      </c>
      <c r="L19" s="97">
        <f>+L16+L17+L18</f>
        <v/>
      </c>
    </row>
    <row r="20">
      <c r="D20" s="113" t="inlineStr">
        <is>
          <t>Plus: Non-Deductible Interest Added Back (&gt; 30% EBITDA Cap)</t>
        </is>
      </c>
      <c r="F20" s="1">
        <f>+F30</f>
        <v/>
      </c>
      <c r="G20" s="1">
        <f>+G30</f>
        <v/>
      </c>
      <c r="H20" s="1">
        <f>+H30</f>
        <v/>
      </c>
      <c r="I20" s="1">
        <f>+I30</f>
        <v/>
      </c>
      <c r="J20" s="1">
        <f>+J30</f>
        <v/>
      </c>
      <c r="K20" s="1">
        <f>+K30</f>
        <v/>
      </c>
      <c r="L20" s="1">
        <f>+L30</f>
        <v/>
      </c>
    </row>
    <row r="21">
      <c r="D21" s="113" t="inlineStr">
        <is>
          <t>Less: Prior-Year Non-Deducted Interest Recovered in Period</t>
        </is>
      </c>
      <c r="F21" s="1">
        <f>+F34</f>
        <v/>
      </c>
      <c r="G21" s="1">
        <f>+G34</f>
        <v/>
      </c>
      <c r="H21" s="1">
        <f>+H34</f>
        <v/>
      </c>
      <c r="I21" s="1">
        <f>+I34</f>
        <v/>
      </c>
      <c r="J21" s="1">
        <f>+J34</f>
        <v/>
      </c>
      <c r="K21" s="1">
        <f>+K34</f>
        <v/>
      </c>
      <c r="L21" s="1">
        <f>+L34</f>
        <v/>
      </c>
    </row>
    <row r="22">
      <c r="D22" s="54" t="inlineStr">
        <is>
          <t>Cash Corporate Income Tax Paid (CIT @ 25% on Consolidated Tax Base)</t>
        </is>
      </c>
      <c r="E22" s="54" t="n"/>
      <c r="F22" s="55">
        <f>-MAX(0,F23)*$E$7</f>
        <v/>
      </c>
      <c r="G22" s="55">
        <f>-MAX(0,G23)*$E$7</f>
        <v/>
      </c>
      <c r="H22" s="55">
        <f>-MAX(0,H23)*$E$7</f>
        <v/>
      </c>
      <c r="I22" s="55">
        <f>-MAX(0,I23)*$E$7</f>
        <v/>
      </c>
      <c r="J22" s="55">
        <f>-MAX(0,J23)*$E$7</f>
        <v/>
      </c>
      <c r="K22" s="55">
        <f>-MAX(0,K23)*$E$7</f>
        <v/>
      </c>
      <c r="L22" s="55">
        <f>-MAX(0,L23)*$E$7</f>
        <v/>
      </c>
    </row>
    <row r="23">
      <c r="D23" s="79" t="inlineStr">
        <is>
          <t>Adjusted Consolidated Taxable Income (Base Imponible Fiscal)</t>
        </is>
      </c>
      <c r="F23" s="97">
        <f>+F19+F20+F21</f>
        <v/>
      </c>
      <c r="G23" s="97">
        <f>+G19+G20+G21</f>
        <v/>
      </c>
      <c r="H23" s="97">
        <f>+H19+H20+H21</f>
        <v/>
      </c>
      <c r="I23" s="97">
        <f>+I19+I20+I21</f>
        <v/>
      </c>
      <c r="J23" s="97">
        <f>+J19+J20+J21</f>
        <v/>
      </c>
      <c r="K23" s="97">
        <f>+K19+K20+K21</f>
        <v/>
      </c>
      <c r="L23" s="97">
        <f>+L19+L20+L21</f>
        <v/>
      </c>
    </row>
    <row r="24">
      <c r="D24" s="42" t="inlineStr">
        <is>
          <t>Consolidated Net Income (100% Group Post-CIT)</t>
        </is>
      </c>
      <c r="E24" s="42" t="n"/>
      <c r="F24" s="43">
        <f>+F19+F22</f>
        <v/>
      </c>
      <c r="G24" s="43">
        <f>+G19+G22</f>
        <v/>
      </c>
      <c r="H24" s="43">
        <f>+H19+H22</f>
        <v/>
      </c>
      <c r="I24" s="43">
        <f>+I19+I22</f>
        <v/>
      </c>
      <c r="J24" s="43">
        <f>+J19+J22</f>
        <v/>
      </c>
      <c r="K24" s="43">
        <f>+K19+K22</f>
        <v/>
      </c>
      <c r="L24" s="43">
        <f>+L19+L22</f>
        <v/>
      </c>
    </row>
    <row r="26">
      <c r="D26" s="14" t="inlineStr">
        <is>
          <t>Art. 16.1 LIS — 30% Operating EBITDA Cap &amp; Carryforward Schedule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>
      <c r="D27" s="113" t="inlineStr">
        <is>
          <t>100% Fiscal Operating EBITDA (Pre-IFRS 16 Cash EBITDA)</t>
        </is>
      </c>
      <c r="F27" s="1">
        <f>+F14</f>
        <v/>
      </c>
      <c r="G27" s="1">
        <f>+G14</f>
        <v/>
      </c>
      <c r="H27" s="1">
        <f>+H14</f>
        <v/>
      </c>
      <c r="I27" s="1">
        <f>+I14</f>
        <v/>
      </c>
      <c r="J27" s="1">
        <f>+J14</f>
        <v/>
      </c>
      <c r="K27" s="1">
        <f>+K14</f>
        <v/>
      </c>
      <c r="L27" s="1">
        <f>+L14</f>
        <v/>
      </c>
    </row>
    <row r="28">
      <c r="D28" s="115" t="inlineStr">
        <is>
          <t>30% EBITDA Interest Deductibility Limit (MAX 30% EBITDA, €1m)</t>
        </is>
      </c>
      <c r="F28" s="38">
        <f>+MAX($E$9,$E$8*F27)</f>
        <v/>
      </c>
      <c r="G28" s="38">
        <f>+MAX($E$9,$E$8*G27)</f>
        <v/>
      </c>
      <c r="H28" s="38">
        <f>+MAX($E$9,$E$8*H27)</f>
        <v/>
      </c>
      <c r="I28" s="38">
        <f>+MAX($E$9,$E$8*I27)</f>
        <v/>
      </c>
      <c r="J28" s="38">
        <f>+MAX($E$9,$E$8*J27)</f>
        <v/>
      </c>
      <c r="K28" s="38">
        <f>+MAX($E$9,$E$8*K27)</f>
        <v/>
      </c>
      <c r="L28" s="38">
        <f>+MAX($E$9,$E$8*L27)</f>
        <v/>
      </c>
    </row>
    <row r="29">
      <c r="D29" s="113" t="inlineStr">
        <is>
          <t>Total Financial Expense Subject to Art. 16.1 LIS (Interest + Fee Amort.)</t>
        </is>
      </c>
      <c r="F29" s="1">
        <f>-(F17+F18)</f>
        <v/>
      </c>
      <c r="G29" s="1">
        <f>-(G17+G18)</f>
        <v/>
      </c>
      <c r="H29" s="1">
        <f>-(H17+H18)</f>
        <v/>
      </c>
      <c r="I29" s="1">
        <f>-(I17+I18)</f>
        <v/>
      </c>
      <c r="J29" s="1">
        <f>-(J17+J18)</f>
        <v/>
      </c>
      <c r="K29" s="1">
        <f>-(K17+K18)</f>
        <v/>
      </c>
      <c r="L29" s="1">
        <f>-(L17+L18)</f>
        <v/>
      </c>
    </row>
    <row r="30">
      <c r="D30" s="115" t="inlineStr">
        <is>
          <t>Current-Year Non-Deductible Financial Expense (Excess over 30% Cap)</t>
        </is>
      </c>
      <c r="F30" s="38">
        <f>+MAX(0,F29-F28)</f>
        <v/>
      </c>
      <c r="G30" s="38">
        <f>+MAX(0,G29-G28)</f>
        <v/>
      </c>
      <c r="H30" s="38">
        <f>+MAX(0,H29-H28)</f>
        <v/>
      </c>
      <c r="I30" s="38">
        <f>+MAX(0,I29-I28)</f>
        <v/>
      </c>
      <c r="J30" s="38">
        <f>+MAX(0,J29-J28)</f>
        <v/>
      </c>
      <c r="K30" s="38">
        <f>+MAX(0,K29-K28)</f>
        <v/>
      </c>
      <c r="L30" s="38">
        <f>+MAX(0,L29-L28)</f>
        <v/>
      </c>
    </row>
    <row r="31">
      <c r="D31" s="113" t="inlineStr">
        <is>
          <t>Unused 30% EBITDA Headroom Generated in Year (5-Year Carryforward)</t>
        </is>
      </c>
      <c r="F31" s="1">
        <f>+MAX(0,F28-F29)</f>
        <v/>
      </c>
      <c r="G31" s="1">
        <f>+MAX(0,G28-G29)</f>
        <v/>
      </c>
      <c r="H31" s="1">
        <f>+MAX(0,H28-H29)</f>
        <v/>
      </c>
      <c r="I31" s="1">
        <f>+MAX(0,I28-I29)</f>
        <v/>
      </c>
      <c r="J31" s="1">
        <f>+MAX(0,J28-J29)</f>
        <v/>
      </c>
      <c r="K31" s="1">
        <f>+MAX(0,K28-K29)</f>
        <v/>
      </c>
      <c r="L31" s="1">
        <f>+MAX(0,L28-L29)</f>
        <v/>
      </c>
    </row>
    <row r="32">
      <c r="D32" s="113" t="inlineStr">
        <is>
          <t>BoP Non-Deducted Interest Carryforward Balance</t>
        </is>
      </c>
      <c r="F32" s="1">
        <f>+E35</f>
        <v/>
      </c>
      <c r="G32" s="1">
        <f>+F35</f>
        <v/>
      </c>
      <c r="H32" s="1">
        <f>+G35</f>
        <v/>
      </c>
      <c r="I32" s="1">
        <f>+H35</f>
        <v/>
      </c>
      <c r="J32" s="1">
        <f>+I35</f>
        <v/>
      </c>
      <c r="K32" s="1">
        <f>+J35</f>
        <v/>
      </c>
      <c r="L32" s="1">
        <f>+K35</f>
        <v/>
      </c>
    </row>
    <row r="33">
      <c r="D33" s="113" t="inlineStr">
        <is>
          <t>Plus: New Non-Deductible Interest in Year</t>
        </is>
      </c>
      <c r="F33" s="1">
        <f>+F30</f>
        <v/>
      </c>
      <c r="G33" s="1">
        <f>+G30</f>
        <v/>
      </c>
      <c r="H33" s="1">
        <f>+H30</f>
        <v/>
      </c>
      <c r="I33" s="1">
        <f>+I30</f>
        <v/>
      </c>
      <c r="J33" s="1">
        <f>+J30</f>
        <v/>
      </c>
      <c r="K33" s="1">
        <f>+K30</f>
        <v/>
      </c>
      <c r="L33" s="1">
        <f>+L30</f>
        <v/>
      </c>
    </row>
    <row r="34">
      <c r="D34" s="113" t="inlineStr">
        <is>
          <t>Less: Carryforward Interest Deducted Using Unused EBITDA Capacity</t>
        </is>
      </c>
      <c r="F34" s="1">
        <f>-MIN(F32,F31)</f>
        <v/>
      </c>
      <c r="G34" s="1">
        <f>-MIN(G32,G31)</f>
        <v/>
      </c>
      <c r="H34" s="1">
        <f>-MIN(H32,H31)</f>
        <v/>
      </c>
      <c r="I34" s="1">
        <f>-MIN(I32,I31)</f>
        <v/>
      </c>
      <c r="J34" s="1">
        <f>-MIN(J32,J31)</f>
        <v/>
      </c>
      <c r="K34" s="1">
        <f>-MIN(K32,K31)</f>
        <v/>
      </c>
      <c r="L34" s="1">
        <f>-MIN(L32,L31)</f>
        <v/>
      </c>
    </row>
    <row r="35">
      <c r="D35" s="54" t="inlineStr">
        <is>
          <t>EoP Non-Deducted Interest Carryforward Balance (Tax Asset)</t>
        </is>
      </c>
      <c r="E35" s="55" t="n">
        <v>0</v>
      </c>
      <c r="F35" s="55">
        <f>+F32+F33+F34</f>
        <v/>
      </c>
      <c r="G35" s="55">
        <f>+G32+G33+G34</f>
        <v/>
      </c>
      <c r="H35" s="55">
        <f>+H32+H33+H34</f>
        <v/>
      </c>
      <c r="I35" s="55">
        <f>+I32+I33+I34</f>
        <v/>
      </c>
      <c r="J35" s="55">
        <f>+J32+J33+J34</f>
        <v/>
      </c>
      <c r="K35" s="55">
        <f>+K32+K33+K34</f>
        <v/>
      </c>
      <c r="L35" s="55">
        <f>+L32+L33+L34</f>
        <v/>
      </c>
    </row>
    <row r="37">
      <c r="D37" s="113" t="inlineStr">
        <is>
          <t>Unlevered Taxes (Hypothetical CIT if Debt = 0)</t>
        </is>
      </c>
      <c r="F37" s="1">
        <f>-MAX(0,F16)*$E$7</f>
        <v/>
      </c>
      <c r="G37" s="1">
        <f>-MAX(0,G16)*$E$7</f>
        <v/>
      </c>
      <c r="H37" s="1">
        <f>-MAX(0,H16)*$E$7</f>
        <v/>
      </c>
      <c r="I37" s="1">
        <f>-MAX(0,I16)*$E$7</f>
        <v/>
      </c>
      <c r="J37" s="1">
        <f>-MAX(0,J16)*$E$7</f>
        <v/>
      </c>
      <c r="K37" s="1">
        <f>-MAX(0,K16)*$E$7</f>
        <v/>
      </c>
      <c r="L37" s="1">
        <f>-MAX(0,L16)*$E$7</f>
        <v/>
      </c>
    </row>
    <row r="38">
      <c r="D38" s="79" t="inlineStr">
        <is>
          <t>Theoretical Maximum Tax Shield (25% × Total Interest + Fee Amort.)</t>
        </is>
      </c>
      <c r="F38" s="97">
        <f>+F29*$E$7</f>
        <v/>
      </c>
      <c r="G38" s="97">
        <f>+G29*$E$7</f>
        <v/>
      </c>
      <c r="H38" s="97">
        <f>+H29*$E$7</f>
        <v/>
      </c>
      <c r="I38" s="97">
        <f>+I29*$E$7</f>
        <v/>
      </c>
      <c r="J38" s="97">
        <f>+J29*$E$7</f>
        <v/>
      </c>
      <c r="K38" s="97">
        <f>+K29*$E$7</f>
        <v/>
      </c>
      <c r="L38" s="97">
        <f>+L29*$E$7</f>
        <v/>
      </c>
    </row>
    <row r="39">
      <c r="D39" s="54" t="inlineStr">
        <is>
          <t>Actual Realized Cash Tax Shield (Unlevered CIT - Actual Levered CIT)</t>
        </is>
      </c>
      <c r="E39" s="54" t="n"/>
      <c r="F39" s="55">
        <f>+F22-F37</f>
        <v/>
      </c>
      <c r="G39" s="55">
        <f>+G22-G37</f>
        <v/>
      </c>
      <c r="H39" s="55">
        <f>+H22-H37</f>
        <v/>
      </c>
      <c r="I39" s="55">
        <f>+I22-I37</f>
        <v/>
      </c>
      <c r="J39" s="55">
        <f>+J22-J37</f>
        <v/>
      </c>
      <c r="K39" s="55">
        <f>+K22-K37</f>
        <v/>
      </c>
      <c r="L39" s="55">
        <f>+L22-L37</f>
        <v/>
      </c>
    </row>
    <row r="40">
      <c r="D40" s="79" t="inlineStr">
        <is>
          <t>Tax Shield Efficiency (% of Theoretical Shield Realized in Cash)</t>
        </is>
      </c>
      <c r="F40" s="199">
        <f>+IFERROR(F39/F38,0)</f>
        <v/>
      </c>
      <c r="G40" s="199">
        <f>+IFERROR(G39/G38,0)</f>
        <v/>
      </c>
      <c r="H40" s="199">
        <f>+IFERROR(H39/H38,0)</f>
        <v/>
      </c>
      <c r="I40" s="199">
        <f>+IFERROR(I39/I38,0)</f>
        <v/>
      </c>
      <c r="J40" s="199">
        <f>+IFERROR(J39/J38,0)</f>
        <v/>
      </c>
      <c r="K40" s="199">
        <f>+IFERROR(K39/K38,0)</f>
        <v/>
      </c>
      <c r="L40" s="199">
        <f>+IFERROR(L39/L38,0)</f>
        <v/>
      </c>
    </row>
    <row r="41">
      <c r="D41" s="115" t="inlineStr">
        <is>
          <t>Effective Tax Shield Rate on Financial Expenses (t_eff %)</t>
        </is>
      </c>
      <c r="F41" s="50">
        <f>+IFERROR(F39/F29,0)</f>
        <v/>
      </c>
      <c r="G41" s="50">
        <f>+IFERROR(G39/G29,0)</f>
        <v/>
      </c>
      <c r="H41" s="50">
        <f>+IFERROR(H39/H29,0)</f>
        <v/>
      </c>
      <c r="I41" s="50">
        <f>+IFERROR(I39/I29,0)</f>
        <v/>
      </c>
      <c r="J41" s="50">
        <f>+IFERROR(J39/J29,0)</f>
        <v/>
      </c>
      <c r="K41" s="50">
        <f>+IFERROR(K39/K29,0)</f>
        <v/>
      </c>
      <c r="L41" s="50">
        <f>+IFERROR(L39/L29,0)</f>
        <v/>
      </c>
    </row>
    <row r="44" ht="16.05" customHeight="1" s="114">
      <c r="A44" s="12" t="inlineStr">
        <is>
          <t>&gt;</t>
        </is>
      </c>
      <c r="B44" s="12" t="inlineStr">
        <is>
          <t>&gt;</t>
        </is>
      </c>
      <c r="C44" s="13" t="inlineStr">
        <is>
          <t>2. Dynamic WACC Evolution Due to De-Leveraging &amp; Art. 16.1 LIS Tax Shield (2025A–2032E)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</row>
    <row r="46">
      <c r="B46" s="9" t="n">
        <v>8</v>
      </c>
      <c r="D46" s="113" t="inlineStr">
        <is>
          <t>Implied 100% Inditex Enterprise Value (EV at Entry Multiple)</t>
        </is>
      </c>
      <c r="E46" s="1">
        <f>'LBO Summary'!E51</f>
        <v/>
      </c>
      <c r="F46" s="1">
        <f>'LBO Summary'!F51</f>
        <v/>
      </c>
      <c r="G46" s="1">
        <f>'LBO Summary'!G51</f>
        <v/>
      </c>
      <c r="H46" s="1">
        <f>'LBO Summary'!H51</f>
        <v/>
      </c>
      <c r="I46" s="1">
        <f>'LBO Summary'!I51</f>
        <v/>
      </c>
      <c r="J46" s="1">
        <f>'LBO Summary'!J51</f>
        <v/>
      </c>
      <c r="K46" s="1">
        <f>'LBO Summary'!K51</f>
        <v/>
      </c>
      <c r="L46" s="1">
        <f>'LBO Summary'!L51</f>
        <v/>
      </c>
    </row>
    <row r="47">
      <c r="D47" s="113" t="inlineStr">
        <is>
          <t>100% Consolidated Net Financial Debt (EoP)</t>
        </is>
      </c>
      <c r="E47" s="1">
        <f>'Debt &amp; Covenants'!E70</f>
        <v/>
      </c>
      <c r="F47" s="1">
        <f>'Debt &amp; Covenants'!F70</f>
        <v/>
      </c>
      <c r="G47" s="1">
        <f>'Debt &amp; Covenants'!G70</f>
        <v/>
      </c>
      <c r="H47" s="1">
        <f>'Debt &amp; Covenants'!H70</f>
        <v/>
      </c>
      <c r="I47" s="1">
        <f>'Debt &amp; Covenants'!I70</f>
        <v/>
      </c>
      <c r="J47" s="1">
        <f>'Debt &amp; Covenants'!J70</f>
        <v/>
      </c>
      <c r="K47" s="1">
        <f>'Debt &amp; Covenants'!K70</f>
        <v/>
      </c>
      <c r="L47" s="1">
        <f>'Debt &amp; Covenants'!L70</f>
        <v/>
      </c>
    </row>
    <row r="48">
      <c r="D48" s="115" t="inlineStr">
        <is>
          <t>Implied 100% TopCo Equity Value (E = EV - Net Debt)</t>
        </is>
      </c>
      <c r="E48" s="38">
        <f>+E46-E47</f>
        <v/>
      </c>
      <c r="F48" s="38">
        <f>+F46-F47</f>
        <v/>
      </c>
      <c r="G48" s="38">
        <f>+G46-G47</f>
        <v/>
      </c>
      <c r="H48" s="38">
        <f>+H46-H47</f>
        <v/>
      </c>
      <c r="I48" s="38">
        <f>+I46-I47</f>
        <v/>
      </c>
      <c r="J48" s="38">
        <f>+J46-J47</f>
        <v/>
      </c>
      <c r="K48" s="38">
        <f>+K46-K47</f>
        <v/>
      </c>
      <c r="L48" s="38">
        <f>+L46-L47</f>
        <v/>
      </c>
    </row>
    <row r="49">
      <c r="D49" s="79" t="inlineStr">
        <is>
          <t>Net Debt / Equity Ratio (D / E)</t>
        </is>
      </c>
      <c r="E49" s="100">
        <f>+MAX(0,E47/E48)</f>
        <v/>
      </c>
      <c r="F49" s="100">
        <f>+MAX(0,F47/F48)</f>
        <v/>
      </c>
      <c r="G49" s="100">
        <f>+MAX(0,G47/G48)</f>
        <v/>
      </c>
      <c r="H49" s="100">
        <f>+MAX(0,H47/H48)</f>
        <v/>
      </c>
      <c r="I49" s="100">
        <f>+MAX(0,I47/I48)</f>
        <v/>
      </c>
      <c r="J49" s="100">
        <f>+MAX(0,J47/J48)</f>
        <v/>
      </c>
      <c r="K49" s="100">
        <f>+MAX(0,K47/K48)</f>
        <v/>
      </c>
      <c r="L49" s="100">
        <f>+MAX(0,L47/L48)</f>
        <v/>
      </c>
    </row>
    <row r="50">
      <c r="D50" s="113" t="inlineStr">
        <is>
          <t>Debt Weight in Capital Structure (D / V)</t>
        </is>
      </c>
      <c r="E50" s="205">
        <f>+MAX(0,E47/E46)</f>
        <v/>
      </c>
      <c r="F50" s="205">
        <f>+MAX(0,F47/F46)</f>
        <v/>
      </c>
      <c r="G50" s="205">
        <f>+MAX(0,G47/G46)</f>
        <v/>
      </c>
      <c r="H50" s="205">
        <f>+MAX(0,H47/H46)</f>
        <v/>
      </c>
      <c r="I50" s="205">
        <f>+MAX(0,I47/I46)</f>
        <v/>
      </c>
      <c r="J50" s="205">
        <f>+MAX(0,J47/J46)</f>
        <v/>
      </c>
      <c r="K50" s="205">
        <f>+MAX(0,K47/K46)</f>
        <v/>
      </c>
      <c r="L50" s="205">
        <f>+MAX(0,L47/L46)</f>
        <v/>
      </c>
    </row>
    <row r="51">
      <c r="D51" s="113" t="inlineStr">
        <is>
          <t>Equity Weight in Capital Structure (E / V)</t>
        </is>
      </c>
      <c r="E51" s="205">
        <f>1-E50</f>
        <v/>
      </c>
      <c r="F51" s="205">
        <f>1-F50</f>
        <v/>
      </c>
      <c r="G51" s="205">
        <f>1-G50</f>
        <v/>
      </c>
      <c r="H51" s="205">
        <f>1-H50</f>
        <v/>
      </c>
      <c r="I51" s="205">
        <f>1-I50</f>
        <v/>
      </c>
      <c r="J51" s="205">
        <f>1-J50</f>
        <v/>
      </c>
      <c r="K51" s="205">
        <f>1-K50</f>
        <v/>
      </c>
      <c r="L51" s="205">
        <f>1-L50</f>
        <v/>
      </c>
    </row>
    <row r="53">
      <c r="D53" s="113" t="inlineStr">
        <is>
          <t>Unlevered Cost of Equity (Ku = Rf + Beta_U × ERP)</t>
        </is>
      </c>
      <c r="E53" s="105">
        <f>+$J$7+$J$9*$J$8</f>
        <v/>
      </c>
      <c r="F53" s="105">
        <f>+$J$7+$J$9*$J$8</f>
        <v/>
      </c>
      <c r="G53" s="105">
        <f>+$J$7+$J$9*$J$8</f>
        <v/>
      </c>
      <c r="H53" s="105">
        <f>+$J$7+$J$9*$J$8</f>
        <v/>
      </c>
      <c r="I53" s="105">
        <f>+$J$7+$J$9*$J$8</f>
        <v/>
      </c>
      <c r="J53" s="105">
        <f>+$J$7+$J$9*$J$8</f>
        <v/>
      </c>
      <c r="K53" s="105">
        <f>+$J$7+$J$9*$J$8</f>
        <v/>
      </c>
      <c r="L53" s="105">
        <f>+$J$7+$J$9*$J$8</f>
        <v/>
      </c>
    </row>
    <row r="54">
      <c r="D54" s="115" t="inlineStr">
        <is>
          <t>Dynamic Levered Beta: Beta_L = Beta_U × [1 + (1 - t_eff) × (D/E)]</t>
        </is>
      </c>
      <c r="E54" s="89">
        <f>+$J$9*(1+(1-$E$7)*E49)</f>
        <v/>
      </c>
      <c r="F54" s="89">
        <f>+$J$9*(1+(1-F41)*F49)</f>
        <v/>
      </c>
      <c r="G54" s="89">
        <f>+$J$9*(1+(1-G41)*G49)</f>
        <v/>
      </c>
      <c r="H54" s="89">
        <f>+$J$9*(1+(1-H41)*H49)</f>
        <v/>
      </c>
      <c r="I54" s="89">
        <f>+$J$9*(1+(1-I41)*I49)</f>
        <v/>
      </c>
      <c r="J54" s="89">
        <f>+$J$9*(1+(1-J41)*J49)</f>
        <v/>
      </c>
      <c r="K54" s="89">
        <f>+$J$9*(1+(1-K41)*K49)</f>
        <v/>
      </c>
      <c r="L54" s="89">
        <f>+$J$9*(1+(1-L41)*L49)</f>
        <v/>
      </c>
    </row>
    <row r="55">
      <c r="D55" s="115" t="inlineStr">
        <is>
          <t>Dynamic Cost of Levered Equity: Ke = Rf + Beta_L × ERP</t>
        </is>
      </c>
      <c r="E55" s="50">
        <f>+$J$7+E54*$J$8</f>
        <v/>
      </c>
      <c r="F55" s="50">
        <f>+$J$7+F54*$J$8</f>
        <v/>
      </c>
      <c r="G55" s="50">
        <f>+$J$7+G54*$J$8</f>
        <v/>
      </c>
      <c r="H55" s="50">
        <f>+$J$7+H54*$J$8</f>
        <v/>
      </c>
      <c r="I55" s="50">
        <f>+$J$7+I54*$J$8</f>
        <v/>
      </c>
      <c r="J55" s="50">
        <f>+$J$7+J54*$J$8</f>
        <v/>
      </c>
      <c r="K55" s="50">
        <f>+$J$7+K54*$J$8</f>
        <v/>
      </c>
      <c r="L55" s="50">
        <f>+$J$7+L54*$J$8</f>
        <v/>
      </c>
    </row>
    <row r="56">
      <c r="D56" s="113" t="inlineStr">
        <is>
          <t>Pre-Tax Blended Cost of Debt (Kd Pre-Tax)</t>
        </is>
      </c>
      <c r="E56" s="105">
        <f>'Debt &amp; Covenants'!$E$7</f>
        <v/>
      </c>
      <c r="F56" s="105">
        <f>+IFERROR(-F17/'Debt &amp; Covenants'!F64,'Debt &amp; Covenants'!$E$7)</f>
        <v/>
      </c>
      <c r="G56" s="105">
        <f>+IFERROR(-G17/'Debt &amp; Covenants'!G64,'Debt &amp; Covenants'!$E$7)</f>
        <v/>
      </c>
      <c r="H56" s="105">
        <f>+IFERROR(-H17/'Debt &amp; Covenants'!H64,'Debt &amp; Covenants'!$E$7)</f>
        <v/>
      </c>
      <c r="I56" s="105">
        <f>+IFERROR(-I17/'Debt &amp; Covenants'!I64,'Debt &amp; Covenants'!$E$7)</f>
        <v/>
      </c>
      <c r="J56" s="105">
        <f>+IFERROR(-J17/'Debt &amp; Covenants'!J64,'Debt &amp; Covenants'!$E$7)</f>
        <v/>
      </c>
      <c r="K56" s="105">
        <f>+IFERROR(-K17/'Debt &amp; Covenants'!K64,'Debt &amp; Covenants'!$E$7)</f>
        <v/>
      </c>
      <c r="L56" s="105">
        <f>+IFERROR(-L17/'Debt &amp; Covenants'!L64,'Debt &amp; Covenants'!$E$7)</f>
        <v/>
      </c>
    </row>
    <row r="57">
      <c r="D57" s="79" t="inlineStr">
        <is>
          <t>Effective Tax Shield Rate (t_eff — Capped/Boosted by Art. 16.1 LIS)</t>
        </is>
      </c>
      <c r="E57" s="106">
        <f>+$E$7</f>
        <v/>
      </c>
      <c r="F57" s="106">
        <f>+F41</f>
        <v/>
      </c>
      <c r="G57" s="106">
        <f>+G41</f>
        <v/>
      </c>
      <c r="H57" s="106">
        <f>+H41</f>
        <v/>
      </c>
      <c r="I57" s="106">
        <f>+I41</f>
        <v/>
      </c>
      <c r="J57" s="106">
        <f>+J41</f>
        <v/>
      </c>
      <c r="K57" s="106">
        <f>+K41</f>
        <v/>
      </c>
      <c r="L57" s="106">
        <f>+L41</f>
        <v/>
      </c>
    </row>
    <row r="58">
      <c r="D58" s="115" t="inlineStr">
        <is>
          <t>After-Tax Effective Cost of Debt: Kd × (1 - t_eff)</t>
        </is>
      </c>
      <c r="E58" s="50">
        <f>+E56*(1-E57)</f>
        <v/>
      </c>
      <c r="F58" s="50">
        <f>+F56*(1-F57)</f>
        <v/>
      </c>
      <c r="G58" s="50">
        <f>+G56*(1-G57)</f>
        <v/>
      </c>
      <c r="H58" s="50">
        <f>+H56*(1-H57)</f>
        <v/>
      </c>
      <c r="I58" s="50">
        <f>+I56*(1-I57)</f>
        <v/>
      </c>
      <c r="J58" s="50">
        <f>+J56*(1-J57)</f>
        <v/>
      </c>
      <c r="K58" s="50">
        <f>+K56*(1-K57)</f>
        <v/>
      </c>
      <c r="L58" s="50">
        <f>+L56*(1-L57)</f>
        <v/>
      </c>
    </row>
    <row r="59">
      <c r="D59" s="54" t="inlineStr">
        <is>
          <t>Dynamic WACC (Modigliani-Miller / Hamada w/ Spanish Tax Cap)</t>
        </is>
      </c>
      <c r="E59" s="107">
        <f>+E55*E51+E58*E50</f>
        <v/>
      </c>
      <c r="F59" s="107">
        <f>+F55*F51+F58*F50</f>
        <v/>
      </c>
      <c r="G59" s="107">
        <f>+G55*G51+G58*G50</f>
        <v/>
      </c>
      <c r="H59" s="107">
        <f>+H55*H51+H58*H50</f>
        <v/>
      </c>
      <c r="I59" s="107">
        <f>+I55*I51+I58*I50</f>
        <v/>
      </c>
      <c r="J59" s="107">
        <f>+J55*J51+J58*J50</f>
        <v/>
      </c>
      <c r="K59" s="107">
        <f>+K55*K51+K58*K50</f>
        <v/>
      </c>
      <c r="L59" s="107">
        <f>+L55*L51+L58*L50</f>
        <v/>
      </c>
    </row>
    <row r="60">
      <c r="D60" s="57" t="inlineStr">
        <is>
          <t>WACC Reduction vs. Unlevered Ku (Net Tax Shield Benefit)</t>
        </is>
      </c>
      <c r="E60" s="108">
        <f>+E59-E53</f>
        <v/>
      </c>
      <c r="F60" s="108">
        <f>+F59-F53</f>
        <v/>
      </c>
      <c r="G60" s="108">
        <f>+G59-G53</f>
        <v/>
      </c>
      <c r="H60" s="108">
        <f>+H59-H53</f>
        <v/>
      </c>
      <c r="I60" s="108">
        <f>+I59-I53</f>
        <v/>
      </c>
      <c r="J60" s="108">
        <f>+J59-J53</f>
        <v/>
      </c>
      <c r="K60" s="108">
        <f>+K59-K53</f>
        <v/>
      </c>
      <c r="L60" s="108">
        <f>+L59-L53</f>
        <v/>
      </c>
    </row>
    <row r="62">
      <c r="D62" s="115" t="inlineStr">
        <is>
          <t>Cumulative Cash Tax Shield Realized (2026E–2032E, €m)</t>
        </is>
      </c>
      <c r="E62" s="38">
        <f>+SUM(F39:L39)</f>
        <v/>
      </c>
    </row>
    <row r="63">
      <c r="D63" s="115" t="inlineStr">
        <is>
          <t>Present Value of Realized Tax Shields Discounted @ Ku (APV Tax Shield, €m)</t>
        </is>
      </c>
      <c r="E63" s="38">
        <f>+NPV(E53,F39:L39)</f>
        <v/>
      </c>
    </row>
    <row r="64">
      <c r="D64" s="79" t="inlineStr">
        <is>
          <t>Remaining Non-Deducted Interest Tax Asset at 2032E Exit (€m)</t>
        </is>
      </c>
      <c r="E64" s="97">
        <f>+L35</f>
        <v/>
      </c>
    </row>
  </sheetData>
  <mergeCells count="5">
    <mergeCell ref="G10:I10"/>
    <mergeCell ref="G8:I8"/>
    <mergeCell ref="G9:I9"/>
    <mergeCell ref="G7:I7"/>
    <mergeCell ref="G11:I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D9" sqref="D9"/>
    </sheetView>
  </sheetViews>
  <sheetFormatPr baseColWidth="10" defaultColWidth="9.140625" defaultRowHeight="10.2"/>
  <cols>
    <col width="3" customWidth="1" style="114" min="1" max="1"/>
    <col width="4" customWidth="1" style="114" min="2" max="2"/>
    <col width="6" customWidth="1" style="114" min="3" max="3"/>
    <col width="56" customWidth="1" style="114" min="4" max="4"/>
    <col width="16" customWidth="1" style="114" min="5" max="5"/>
    <col width="14" customWidth="1" style="114" min="6" max="6"/>
  </cols>
  <sheetData>
    <row r="1" ht="18" customHeight="1" s="114">
      <c r="A1" s="3" t="n"/>
      <c r="B1" s="4" t="inlineStr">
        <is>
          <t>Project Galicia v3 — Inditex (ITX.MC)</t>
        </is>
      </c>
      <c r="C1" s="3" t="n"/>
      <c r="D1" s="3" t="n"/>
      <c r="E1" s="3" t="n"/>
      <c r="F1" s="5" t="inlineStr">
        <is>
          <t>Strictly Private &amp; Confidential</t>
        </is>
      </c>
    </row>
    <row r="2" ht="16.05" customHeight="1" s="114">
      <c r="A2" s="6" t="inlineStr">
        <is>
          <t xml:space="preserve">&gt; </t>
        </is>
      </c>
      <c r="B2" s="6" t="inlineStr">
        <is>
          <t>Master Model Integrity, Legal Take-Private &amp; Spanish Tax Compliance Checks</t>
        </is>
      </c>
      <c r="C2" s="3" t="n"/>
      <c r="D2" s="3" t="n"/>
      <c r="E2" s="3" t="n"/>
      <c r="F2" s="3" t="n"/>
    </row>
    <row r="4">
      <c r="C4" s="7" t="inlineStr">
        <is>
          <t>ID</t>
        </is>
      </c>
      <c r="D4" s="8" t="inlineStr">
        <is>
          <t>Audit Check Description</t>
        </is>
      </c>
      <c r="E4" s="109" t="inlineStr">
        <is>
          <t>Diff / Metric</t>
        </is>
      </c>
      <c r="F4" s="7" t="inlineStr">
        <is>
          <t>Status</t>
        </is>
      </c>
    </row>
    <row r="5" ht="19.95" customHeight="1" s="114">
      <c r="C5" s="32" t="n">
        <v>1</v>
      </c>
      <c r="D5" s="113" t="inlineStr">
        <is>
          <t>1. Sources &amp; Uses of Funds Balance Check</t>
        </is>
      </c>
      <c r="E5" s="37">
        <f>'LBO Summary'!E40-'LBO Summary'!J40</f>
        <v/>
      </c>
      <c r="F5" s="110">
        <f>IF(ABS(E5)&lt;0.01,"OK","CHECK")</f>
        <v/>
      </c>
    </row>
    <row r="6" ht="19.95" customHeight="1" s="114">
      <c r="C6" s="32" t="n">
        <v>2</v>
      </c>
      <c r="D6" s="113" t="inlineStr">
        <is>
          <t>2. TopCo Common Equity Ownership Sums to 100.0%</t>
        </is>
      </c>
      <c r="E6" s="111">
        <f>'LBO Summary'!F45-1</f>
        <v/>
      </c>
      <c r="F6" s="110">
        <f>IF(ABS(E6)&lt;0.0001,"OK","CHECK")</f>
        <v/>
      </c>
    </row>
    <row r="7" ht="19.95" customHeight="1" s="114">
      <c r="C7" s="32" t="n">
        <v>3</v>
      </c>
      <c r="D7" s="113" t="inlineStr">
        <is>
          <t>3. Art. 58 LIS Fiscal Consolidation Threshold (&gt;= 75% = 100%)</t>
        </is>
      </c>
      <c r="E7" s="111">
        <f>'LBO Summary'!F14+'LBO Summary'!F15</f>
        <v/>
      </c>
      <c r="F7" s="110">
        <f>IF(E7&gt;=0.75,"OK","CHECK")</f>
        <v/>
      </c>
    </row>
    <row r="8" ht="19.95" customHeight="1" s="114">
      <c r="C8" s="32" t="n">
        <v>4</v>
      </c>
      <c r="D8" s="113" t="inlineStr">
        <is>
          <t>4. Art. 16.5 LIS Anti-LBO Debt Cap (Debt &lt; 70% Purchase Value)</t>
        </is>
      </c>
      <c r="E8" s="136">
        <f>'Tax &amp; WACC'!J10-'Tax &amp; WACC'!E10</f>
        <v/>
      </c>
      <c r="F8" s="110">
        <f>IF(E8&lt;=0,"OK","BREACH")</f>
        <v/>
      </c>
    </row>
    <row r="9" ht="19.95" customHeight="1" s="114">
      <c r="C9" s="32" t="n">
        <v>5</v>
      </c>
      <c r="D9" s="113" t="inlineStr">
        <is>
          <t>5. Senior TLA Scheduled Amortisation Sums to 100%</t>
        </is>
      </c>
      <c r="E9" s="111">
        <f>'Debt &amp; Covenants'!M25</f>
        <v/>
      </c>
      <c r="F9" s="110">
        <f>IF(ABS(E9)&lt;0.0001,"OK","CHECK")</f>
        <v/>
      </c>
    </row>
    <row r="10" ht="19.95" customHeight="1" s="114">
      <c r="C10" s="32" t="n">
        <v>6</v>
      </c>
      <c r="D10" s="113" t="inlineStr">
        <is>
          <t>6. Minimum Operational Cash Floor (€1,000m) Respected</t>
        </is>
      </c>
      <c r="E10" s="37">
        <f>MIN('Debt &amp; Covenants'!E93:L93)-'Debt &amp; Covenants'!E92</f>
        <v/>
      </c>
      <c r="F10" s="110">
        <f>IF(E10&gt;=-0.01,"OK","CHECK")</f>
        <v/>
      </c>
    </row>
    <row r="11" ht="19.95" customHeight="1" s="114">
      <c r="C11" s="32" t="n">
        <v>7</v>
      </c>
      <c r="D11" s="113" t="inlineStr">
        <is>
          <t>7. Non-Negative Debt Tranche Balances (All Years)</t>
        </is>
      </c>
      <c r="E11" s="37">
        <f>MIN('Debt &amp; Covenants'!E24:L24,'Debt &amp; Covenants'!E34:L34,'Debt &amp; Covenants'!E43:L43,'Debt &amp; Covenants'!E52:L52)</f>
        <v/>
      </c>
      <c r="F11" s="110">
        <f>IF(E11&gt;=-0.01,"OK","CHECK")</f>
        <v/>
      </c>
    </row>
    <row r="12" ht="19.95" customHeight="1" s="114">
      <c r="C12" s="32" t="n">
        <v>8</v>
      </c>
      <c r="D12" s="113" t="inlineStr">
        <is>
          <t>8. P&amp;L D&amp;A Reconciled to Capex Vintage Schedule</t>
        </is>
      </c>
      <c r="E12" s="37">
        <f>MAX(ABS('Active Case'!M32-'Active Case'!M49),ABS('Active Case'!S32-'Active Case'!S49))</f>
        <v/>
      </c>
      <c r="F12" s="110">
        <f>IF(E12&lt;0.01,"OK","CHECK")</f>
        <v/>
      </c>
    </row>
    <row r="13" ht="19.95" customHeight="1" s="114">
      <c r="C13" s="32" t="n">
        <v>9</v>
      </c>
      <c r="D13" s="113" t="inlineStr">
        <is>
          <t>9. SFA Net Leverage Covenant Compliance (All Years)</t>
        </is>
      </c>
      <c r="E13" s="112">
        <f>COUNTIF('Debt &amp; Covenants'!E102:L102,"BREACH")</f>
        <v/>
      </c>
      <c r="F13" s="110">
        <f>IF(E13=0,"OK","BREACH")</f>
        <v/>
      </c>
    </row>
    <row r="14" ht="19.95" customHeight="1" s="114">
      <c r="C14" s="32" t="n">
        <v>10</v>
      </c>
      <c r="D14" s="113" t="inlineStr">
        <is>
          <t>10. Bank DSCR Covenant Compliance (All Years)</t>
        </is>
      </c>
      <c r="E14" s="112">
        <f>COUNTIF('Debt &amp; Covenants'!F108:L108,"BREACH")</f>
        <v/>
      </c>
      <c r="F14" s="110">
        <f>IF(E14=0,"OK","BREACH")</f>
        <v/>
      </c>
    </row>
    <row r="15" ht="20" customHeight="1" s="114">
      <c r="C15" s="32" t="n">
        <v>11</v>
      </c>
      <c r="D15" s="113" t="inlineStr">
        <is>
          <t>11. GP + LP Waterfall Proceeds Reconcile to 100% Sponsor Pool</t>
        </is>
      </c>
      <c r="E15" s="144">
        <f>ABS(SUM('LBO Summary'!E82:L82)+'LBO Summary'!E84+SUM('LBO Summary'!F84:L84)-SUM('LBO Summary'!E73:L73))</f>
        <v/>
      </c>
      <c r="F15" s="206">
        <f>IF(E15&lt;0.01,"OK","CHECK")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Jesus Longás</dc:creator>
  <dcterms:created xmlns:dcterms="http://purl.org/dc/terms/" xmlns:xsi="http://www.w3.org/2001/XMLSchema-instance" xsi:type="dcterms:W3CDTF">2024-02-23T12:53:07Z</dcterms:created>
  <dcterms:modified xmlns:dcterms="http://purl.org/dc/terms/" xmlns:xsi="http://www.w3.org/2001/XMLSchema-instance" xsi:type="dcterms:W3CDTF">2026-10-27T17:12:08Z</dcterms:modified>
  <cp:lastModifiedBy>ANXO BRANDAN HERRERA CASTRO</cp:lastModifiedBy>
</cp:coreProperties>
</file>