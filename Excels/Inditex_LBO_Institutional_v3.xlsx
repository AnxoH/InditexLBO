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scritorio\MEFI\Asignaturas\Módulo 1\Corporate Finance\Inditex LBO\Excels\"/>
    </mc:Choice>
  </mc:AlternateContent>
  <xr:revisionPtr revIDLastSave="0" documentId="13_ncr:1_{FDEA6F7F-8C5A-45E2-B825-597D6AA89B2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Instructions" sheetId="1" r:id="rId1"/>
    <sheet name="LBO Summary" sheetId="2" r:id="rId2"/>
    <sheet name="Active Case" sheetId="3" r:id="rId3"/>
    <sheet name="Debt &amp; Covenants" sheetId="4" r:id="rId4"/>
    <sheet name="Tax &amp; WACC" sheetId="5" r:id="rId5"/>
    <sheet name="Checks" sheetId="6" r:id="rId6"/>
  </sheets>
  <externalReferences>
    <externalReference r:id="rId7"/>
  </externalReferences>
  <definedNames>
    <definedName name="_1__123Graph_BCHART_5" hidden="1">'[1]#REF'!#REF!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5" l="1"/>
  <c r="L53" i="5"/>
  <c r="K53" i="5"/>
  <c r="J53" i="5"/>
  <c r="I53" i="5"/>
  <c r="H53" i="5"/>
  <c r="G53" i="5"/>
  <c r="F53" i="5"/>
  <c r="E53" i="5"/>
  <c r="F32" i="5"/>
  <c r="F13" i="5"/>
  <c r="G13" i="5" s="1"/>
  <c r="H13" i="5" s="1"/>
  <c r="I13" i="5" s="1"/>
  <c r="J13" i="5" s="1"/>
  <c r="K13" i="5" s="1"/>
  <c r="L13" i="5" s="1"/>
  <c r="J11" i="5"/>
  <c r="L107" i="4"/>
  <c r="K107" i="4"/>
  <c r="J107" i="4"/>
  <c r="I107" i="4"/>
  <c r="H107" i="4"/>
  <c r="G107" i="4"/>
  <c r="F107" i="4"/>
  <c r="E92" i="4"/>
  <c r="F76" i="4"/>
  <c r="G76" i="4" s="1"/>
  <c r="H76" i="4" s="1"/>
  <c r="I76" i="4" s="1"/>
  <c r="J76" i="4" s="1"/>
  <c r="K76" i="4" s="1"/>
  <c r="L76" i="4" s="1"/>
  <c r="E58" i="4"/>
  <c r="E59" i="4" s="1"/>
  <c r="L50" i="4"/>
  <c r="K50" i="4"/>
  <c r="J50" i="4"/>
  <c r="I50" i="4"/>
  <c r="H50" i="4"/>
  <c r="G50" i="4"/>
  <c r="F50" i="4"/>
  <c r="L41" i="4"/>
  <c r="K41" i="4"/>
  <c r="J41" i="4"/>
  <c r="I41" i="4"/>
  <c r="H41" i="4"/>
  <c r="G41" i="4"/>
  <c r="F41" i="4"/>
  <c r="L35" i="4"/>
  <c r="K35" i="4"/>
  <c r="J35" i="4"/>
  <c r="I35" i="4"/>
  <c r="H35" i="4"/>
  <c r="G35" i="4"/>
  <c r="F35" i="4"/>
  <c r="J25" i="4"/>
  <c r="M25" i="4" s="1"/>
  <c r="E9" i="6" s="1"/>
  <c r="F9" i="6" s="1"/>
  <c r="F19" i="4"/>
  <c r="G19" i="4" s="1"/>
  <c r="H19" i="4" s="1"/>
  <c r="I19" i="4" s="1"/>
  <c r="J19" i="4" s="1"/>
  <c r="K19" i="4" s="1"/>
  <c r="L19" i="4" s="1"/>
  <c r="E15" i="4"/>
  <c r="M11" i="4"/>
  <c r="E11" i="4"/>
  <c r="M10" i="4"/>
  <c r="E10" i="4"/>
  <c r="M9" i="4"/>
  <c r="E9" i="4"/>
  <c r="M8" i="4"/>
  <c r="E8" i="4"/>
  <c r="L58" i="3"/>
  <c r="L54" i="3"/>
  <c r="L48" i="3" s="1"/>
  <c r="K54" i="3"/>
  <c r="K48" i="3" s="1"/>
  <c r="J54" i="3"/>
  <c r="J48" i="3" s="1"/>
  <c r="I54" i="3"/>
  <c r="I48" i="3" s="1"/>
  <c r="M47" i="3"/>
  <c r="L47" i="3"/>
  <c r="K47" i="3"/>
  <c r="J47" i="3"/>
  <c r="L42" i="3"/>
  <c r="K42" i="3"/>
  <c r="J42" i="3"/>
  <c r="I42" i="3"/>
  <c r="J37" i="3"/>
  <c r="K37" i="3" s="1"/>
  <c r="L37" i="3" s="1"/>
  <c r="M37" i="3" s="1"/>
  <c r="N37" i="3" s="1"/>
  <c r="O37" i="3" s="1"/>
  <c r="P37" i="3" s="1"/>
  <c r="Q37" i="3" s="1"/>
  <c r="R37" i="3" s="1"/>
  <c r="S37" i="3" s="1"/>
  <c r="L32" i="3"/>
  <c r="K32" i="3"/>
  <c r="J32" i="3"/>
  <c r="I32" i="3"/>
  <c r="L26" i="3"/>
  <c r="K26" i="3"/>
  <c r="J26" i="3"/>
  <c r="I26" i="3"/>
  <c r="L24" i="3"/>
  <c r="K24" i="3"/>
  <c r="J24" i="3"/>
  <c r="I24" i="3"/>
  <c r="L22" i="3"/>
  <c r="T22" i="3" s="1"/>
  <c r="K22" i="3"/>
  <c r="J22" i="3"/>
  <c r="I22" i="3"/>
  <c r="J20" i="3"/>
  <c r="K20" i="3" s="1"/>
  <c r="L20" i="3" s="1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H12" i="3"/>
  <c r="H11" i="3"/>
  <c r="L10" i="3"/>
  <c r="K10" i="3"/>
  <c r="J10" i="3"/>
  <c r="I10" i="3"/>
  <c r="H10" i="3"/>
  <c r="H9" i="3"/>
  <c r="H8" i="3"/>
  <c r="J7" i="3"/>
  <c r="K7" i="3" s="1"/>
  <c r="L7" i="3" s="1"/>
  <c r="M7" i="3" s="1"/>
  <c r="N7" i="3" s="1"/>
  <c r="O7" i="3" s="1"/>
  <c r="P7" i="3" s="1"/>
  <c r="Q7" i="3" s="1"/>
  <c r="R7" i="3" s="1"/>
  <c r="S7" i="3" s="1"/>
  <c r="H7" i="3"/>
  <c r="D69" i="2"/>
  <c r="E61" i="2"/>
  <c r="F48" i="2"/>
  <c r="E29" i="2"/>
  <c r="G28" i="2"/>
  <c r="G27" i="2"/>
  <c r="G26" i="2"/>
  <c r="G25" i="2"/>
  <c r="G30" i="2" s="1"/>
  <c r="F20" i="2"/>
  <c r="E37" i="2" s="1"/>
  <c r="L15" i="2"/>
  <c r="F15" i="2"/>
  <c r="E7" i="6" s="1"/>
  <c r="F7" i="6" s="1"/>
  <c r="H11" i="2"/>
  <c r="F11" i="2"/>
  <c r="F13" i="2" s="1"/>
  <c r="E93" i="4" l="1"/>
  <c r="E60" i="4"/>
  <c r="F57" i="4"/>
  <c r="M56" i="3"/>
  <c r="M57" i="3" s="1"/>
  <c r="L43" i="3"/>
  <c r="K43" i="3"/>
  <c r="L44" i="3"/>
  <c r="K44" i="3"/>
  <c r="J43" i="3"/>
  <c r="J44" i="3"/>
  <c r="I43" i="3"/>
  <c r="T32" i="3"/>
  <c r="E15" i="5"/>
  <c r="L30" i="3"/>
  <c r="L27" i="3"/>
  <c r="T26" i="3"/>
  <c r="F8" i="2"/>
  <c r="K30" i="3"/>
  <c r="K27" i="3"/>
  <c r="J30" i="3"/>
  <c r="J27" i="3"/>
  <c r="I30" i="3"/>
  <c r="I27" i="3"/>
  <c r="M20" i="3"/>
  <c r="T21" i="3"/>
  <c r="T23" i="3"/>
  <c r="T25" i="3"/>
  <c r="T28" i="3"/>
  <c r="S17" i="3"/>
  <c r="R17" i="3"/>
  <c r="Q17" i="3"/>
  <c r="O17" i="3"/>
  <c r="N17" i="3"/>
  <c r="M17" i="3"/>
  <c r="P17" i="3"/>
  <c r="N16" i="3"/>
  <c r="M16" i="3"/>
  <c r="S16" i="3"/>
  <c r="R16" i="3"/>
  <c r="Q16" i="3"/>
  <c r="P16" i="3"/>
  <c r="O16" i="3"/>
  <c r="N15" i="3"/>
  <c r="M15" i="3"/>
  <c r="O15" i="3"/>
  <c r="P15" i="3"/>
  <c r="Q15" i="3"/>
  <c r="R15" i="3"/>
  <c r="S15" i="3"/>
  <c r="S14" i="3"/>
  <c r="R14" i="3"/>
  <c r="Q14" i="3"/>
  <c r="P14" i="3"/>
  <c r="O14" i="3"/>
  <c r="N14" i="3"/>
  <c r="M14" i="3"/>
  <c r="S13" i="3"/>
  <c r="R13" i="3"/>
  <c r="Q13" i="3"/>
  <c r="P13" i="3"/>
  <c r="O13" i="3"/>
  <c r="N13" i="3"/>
  <c r="M13" i="3"/>
  <c r="O12" i="3"/>
  <c r="S12" i="3"/>
  <c r="R12" i="3"/>
  <c r="Q12" i="3"/>
  <c r="P12" i="3"/>
  <c r="N12" i="3"/>
  <c r="M12" i="3"/>
  <c r="M28" i="3" s="1"/>
  <c r="N28" i="3" s="1"/>
  <c r="O28" i="3" s="1"/>
  <c r="P28" i="3" s="1"/>
  <c r="Q28" i="3" s="1"/>
  <c r="R28" i="3" s="1"/>
  <c r="S28" i="3" s="1"/>
  <c r="S11" i="3"/>
  <c r="R11" i="3"/>
  <c r="Q11" i="3"/>
  <c r="P11" i="3"/>
  <c r="O11" i="3"/>
  <c r="N11" i="3"/>
  <c r="M11" i="3"/>
  <c r="M25" i="3" s="1"/>
  <c r="N25" i="3" s="1"/>
  <c r="O25" i="3" s="1"/>
  <c r="P25" i="3" s="1"/>
  <c r="Q25" i="3" s="1"/>
  <c r="R25" i="3" s="1"/>
  <c r="S25" i="3" s="1"/>
  <c r="S10" i="3"/>
  <c r="R10" i="3"/>
  <c r="Q10" i="3"/>
  <c r="P10" i="3"/>
  <c r="O10" i="3"/>
  <c r="N10" i="3"/>
  <c r="M10" i="3"/>
  <c r="S9" i="3"/>
  <c r="Q9" i="3"/>
  <c r="P9" i="3"/>
  <c r="O9" i="3"/>
  <c r="N9" i="3"/>
  <c r="M9" i="3"/>
  <c r="M21" i="3" s="1"/>
  <c r="R9" i="3"/>
  <c r="G48" i="2"/>
  <c r="F61" i="2"/>
  <c r="D62" i="2" s="1"/>
  <c r="I29" i="2"/>
  <c r="F16" i="2"/>
  <c r="F17" i="2"/>
  <c r="L7" i="2"/>
  <c r="E54" i="2" l="1"/>
  <c r="E69" i="4"/>
  <c r="F92" i="4"/>
  <c r="F61" i="4"/>
  <c r="T30" i="3"/>
  <c r="L31" i="3"/>
  <c r="L33" i="3"/>
  <c r="E14" i="5"/>
  <c r="E16" i="5" s="1"/>
  <c r="F7" i="2"/>
  <c r="E49" i="2"/>
  <c r="K31" i="3"/>
  <c r="K33" i="3"/>
  <c r="J31" i="3"/>
  <c r="J33" i="3"/>
  <c r="I31" i="3"/>
  <c r="I33" i="3"/>
  <c r="N20" i="3"/>
  <c r="G62" i="3"/>
  <c r="N21" i="3"/>
  <c r="M23" i="3"/>
  <c r="M39" i="3"/>
  <c r="M42" i="3" s="1"/>
  <c r="M40" i="3"/>
  <c r="M41" i="3"/>
  <c r="M52" i="3"/>
  <c r="M53" i="3"/>
  <c r="F82" i="4" s="1"/>
  <c r="G61" i="2"/>
  <c r="D63" i="2" s="1"/>
  <c r="H48" i="2"/>
  <c r="J34" i="2"/>
  <c r="E38" i="2"/>
  <c r="J33" i="2"/>
  <c r="J36" i="2"/>
  <c r="L8" i="2"/>
  <c r="L11" i="2" s="1"/>
  <c r="L9" i="2"/>
  <c r="M58" i="3"/>
  <c r="N56" i="3" s="1"/>
  <c r="G37" i="2" l="1"/>
  <c r="G29" i="2"/>
  <c r="F26" i="2"/>
  <c r="F28" i="2"/>
  <c r="F25" i="2"/>
  <c r="F27" i="2"/>
  <c r="L37" i="2"/>
  <c r="O20" i="3"/>
  <c r="G63" i="3"/>
  <c r="O21" i="3"/>
  <c r="N23" i="3"/>
  <c r="N39" i="3"/>
  <c r="N40" i="3"/>
  <c r="N41" i="3"/>
  <c r="N52" i="3"/>
  <c r="N53" i="3"/>
  <c r="G82" i="4" s="1"/>
  <c r="M24" i="3"/>
  <c r="M26" i="3"/>
  <c r="M22" i="3"/>
  <c r="M44" i="3"/>
  <c r="F79" i="4" s="1"/>
  <c r="M43" i="3"/>
  <c r="M54" i="3"/>
  <c r="F80" i="4"/>
  <c r="H61" i="2"/>
  <c r="D64" i="2" s="1"/>
  <c r="I48" i="2"/>
  <c r="L34" i="2"/>
  <c r="E43" i="2"/>
  <c r="G38" i="2"/>
  <c r="L33" i="2"/>
  <c r="L36" i="2"/>
  <c r="F50" i="2"/>
  <c r="I50" i="2"/>
  <c r="L50" i="2"/>
  <c r="E50" i="2"/>
  <c r="E51" i="2" s="1"/>
  <c r="G50" i="2"/>
  <c r="K50" i="2"/>
  <c r="H50" i="2"/>
  <c r="J50" i="2"/>
  <c r="N57" i="3"/>
  <c r="N58" i="3"/>
  <c r="O56" i="3" s="1"/>
  <c r="T33" i="3"/>
  <c r="E34" i="2" l="1"/>
  <c r="J9" i="4"/>
  <c r="E30" i="4" s="1"/>
  <c r="E32" i="4" s="1"/>
  <c r="E34" i="4" s="1"/>
  <c r="E26" i="2"/>
  <c r="I26" i="2" s="1"/>
  <c r="J11" i="4"/>
  <c r="E49" i="4" s="1"/>
  <c r="E52" i="4" s="1"/>
  <c r="F48" i="4" s="1"/>
  <c r="E28" i="2"/>
  <c r="I28" i="2" s="1"/>
  <c r="E36" i="2"/>
  <c r="F30" i="2"/>
  <c r="L16" i="2" s="1"/>
  <c r="J10" i="5" s="1"/>
  <c r="E8" i="6" s="1"/>
  <c r="F8" i="6" s="1"/>
  <c r="E25" i="2"/>
  <c r="E33" i="2"/>
  <c r="J8" i="4"/>
  <c r="E27" i="2"/>
  <c r="I27" i="2" s="1"/>
  <c r="E35" i="2"/>
  <c r="J10" i="4"/>
  <c r="E40" i="4" s="1"/>
  <c r="E43" i="4" s="1"/>
  <c r="F39" i="4" s="1"/>
  <c r="P20" i="3"/>
  <c r="G64" i="3"/>
  <c r="P21" i="3"/>
  <c r="O23" i="3"/>
  <c r="O39" i="3"/>
  <c r="O40" i="3"/>
  <c r="O41" i="3"/>
  <c r="O52" i="3"/>
  <c r="O53" i="3"/>
  <c r="H82" i="4" s="1"/>
  <c r="N24" i="3"/>
  <c r="N26" i="3"/>
  <c r="N22" i="3"/>
  <c r="N54" i="3"/>
  <c r="G80" i="4"/>
  <c r="M27" i="3"/>
  <c r="M30" i="3"/>
  <c r="H62" i="3"/>
  <c r="M48" i="3"/>
  <c r="I61" i="2"/>
  <c r="D65" i="2" s="1"/>
  <c r="J48" i="2"/>
  <c r="G43" i="2"/>
  <c r="E46" i="5"/>
  <c r="E52" i="2"/>
  <c r="O57" i="3"/>
  <c r="O58" i="3"/>
  <c r="P56" i="3" s="1"/>
  <c r="N42" i="3"/>
  <c r="G34" i="2" l="1"/>
  <c r="F29" i="4"/>
  <c r="F31" i="4"/>
  <c r="F52" i="4"/>
  <c r="G48" i="4" s="1"/>
  <c r="F53" i="4"/>
  <c r="F54" i="4"/>
  <c r="G36" i="2"/>
  <c r="I25" i="2"/>
  <c r="I30" i="2" s="1"/>
  <c r="E30" i="2"/>
  <c r="G33" i="2"/>
  <c r="E22" i="4"/>
  <c r="J7" i="4"/>
  <c r="E7" i="4" s="1"/>
  <c r="E56" i="5" s="1"/>
  <c r="E58" i="5" s="1"/>
  <c r="M7" i="4"/>
  <c r="G35" i="2"/>
  <c r="F45" i="4"/>
  <c r="F43" i="4"/>
  <c r="G39" i="4" s="1"/>
  <c r="F44" i="4"/>
  <c r="Q20" i="3"/>
  <c r="G65" i="3"/>
  <c r="Q21" i="3"/>
  <c r="P23" i="3"/>
  <c r="P39" i="3"/>
  <c r="P40" i="3"/>
  <c r="P41" i="3"/>
  <c r="P52" i="3"/>
  <c r="P53" i="3"/>
  <c r="I82" i="4" s="1"/>
  <c r="O24" i="3"/>
  <c r="O26" i="3"/>
  <c r="O22" i="3"/>
  <c r="O54" i="3"/>
  <c r="H80" i="4"/>
  <c r="N27" i="3"/>
  <c r="N30" i="3"/>
  <c r="H63" i="3"/>
  <c r="N48" i="3"/>
  <c r="M31" i="3"/>
  <c r="F49" i="2"/>
  <c r="F51" i="2" s="1"/>
  <c r="F77" i="4"/>
  <c r="F14" i="5"/>
  <c r="M62" i="3"/>
  <c r="M69" i="3" s="1"/>
  <c r="M49" i="3" s="1"/>
  <c r="N62" i="3"/>
  <c r="O62" i="3"/>
  <c r="K48" i="2"/>
  <c r="J61" i="2"/>
  <c r="D66" i="2" s="1"/>
  <c r="P57" i="3"/>
  <c r="P58" i="3"/>
  <c r="Q56" i="3" s="1"/>
  <c r="N43" i="3"/>
  <c r="N44" i="3"/>
  <c r="G79" i="4" s="1"/>
  <c r="O42" i="3"/>
  <c r="O44" i="3" s="1"/>
  <c r="H79" i="4" s="1"/>
  <c r="F32" i="4" l="1"/>
  <c r="F36" i="4" s="1"/>
  <c r="G52" i="4"/>
  <c r="H48" i="4" s="1"/>
  <c r="G53" i="4"/>
  <c r="G54" i="4"/>
  <c r="J35" i="2"/>
  <c r="H30" i="2"/>
  <c r="E11" i="5"/>
  <c r="E24" i="4"/>
  <c r="E65" i="4"/>
  <c r="G43" i="4"/>
  <c r="H39" i="4" s="1"/>
  <c r="G44" i="4"/>
  <c r="G45" i="4"/>
  <c r="R20" i="3"/>
  <c r="G66" i="3"/>
  <c r="R21" i="3"/>
  <c r="Q23" i="3"/>
  <c r="Q39" i="3"/>
  <c r="Q40" i="3"/>
  <c r="Q41" i="3"/>
  <c r="Q52" i="3"/>
  <c r="Q53" i="3"/>
  <c r="J82" i="4" s="1"/>
  <c r="P24" i="3"/>
  <c r="P26" i="3"/>
  <c r="P22" i="3"/>
  <c r="P54" i="3"/>
  <c r="I80" i="4"/>
  <c r="O27" i="3"/>
  <c r="O30" i="3"/>
  <c r="H64" i="3"/>
  <c r="O48" i="3"/>
  <c r="N31" i="3"/>
  <c r="G77" i="4"/>
  <c r="G14" i="5"/>
  <c r="G49" i="2"/>
  <c r="G51" i="2" s="1"/>
  <c r="N63" i="3"/>
  <c r="F46" i="5"/>
  <c r="F52" i="2"/>
  <c r="F27" i="5"/>
  <c r="F28" i="5" s="1"/>
  <c r="M50" i="3"/>
  <c r="N47" i="3" s="1"/>
  <c r="M32" i="3"/>
  <c r="L48" i="2"/>
  <c r="L61" i="2" s="1"/>
  <c r="D68" i="2" s="1"/>
  <c r="K61" i="2"/>
  <c r="D67" i="2" s="1"/>
  <c r="Q57" i="3"/>
  <c r="Q58" i="3" s="1"/>
  <c r="R56" i="3" s="1"/>
  <c r="O43" i="3"/>
  <c r="P42" i="3"/>
  <c r="P44" i="3" s="1"/>
  <c r="I79" i="4" s="1"/>
  <c r="P62" i="3"/>
  <c r="G69" i="2"/>
  <c r="F69" i="2"/>
  <c r="H69" i="2"/>
  <c r="I69" i="2"/>
  <c r="K69" i="2"/>
  <c r="L69" i="2"/>
  <c r="H52" i="4" l="1"/>
  <c r="I48" i="4" s="1"/>
  <c r="H53" i="4"/>
  <c r="H54" i="4"/>
  <c r="J40" i="2"/>
  <c r="K35" i="2"/>
  <c r="L35" i="2"/>
  <c r="L40" i="2" s="1"/>
  <c r="H18" i="5"/>
  <c r="K18" i="5"/>
  <c r="F18" i="5"/>
  <c r="G18" i="5"/>
  <c r="I18" i="5"/>
  <c r="J18" i="5"/>
  <c r="L18" i="5"/>
  <c r="E67" i="4"/>
  <c r="E68" i="4"/>
  <c r="F21" i="4"/>
  <c r="F23" i="4"/>
  <c r="F65" i="4" s="1"/>
  <c r="F85" i="4" s="1"/>
  <c r="H44" i="4"/>
  <c r="H45" i="4"/>
  <c r="H43" i="4"/>
  <c r="I39" i="4" s="1"/>
  <c r="S20" i="3"/>
  <c r="G67" i="3"/>
  <c r="S21" i="3"/>
  <c r="R23" i="3"/>
  <c r="R39" i="3"/>
  <c r="R40" i="3"/>
  <c r="R41" i="3"/>
  <c r="R52" i="3"/>
  <c r="R53" i="3"/>
  <c r="K82" i="4" s="1"/>
  <c r="Q24" i="3"/>
  <c r="Q26" i="3"/>
  <c r="Q22" i="3"/>
  <c r="Q54" i="3"/>
  <c r="J80" i="4"/>
  <c r="P27" i="3"/>
  <c r="P30" i="3"/>
  <c r="H65" i="3"/>
  <c r="P48" i="3"/>
  <c r="O31" i="3"/>
  <c r="H77" i="4"/>
  <c r="H14" i="5"/>
  <c r="H49" i="2"/>
  <c r="H51" i="2" s="1"/>
  <c r="O64" i="3"/>
  <c r="G16" i="5"/>
  <c r="G27" i="5"/>
  <c r="G28" i="5" s="1"/>
  <c r="G52" i="2"/>
  <c r="G46" i="5"/>
  <c r="M33" i="3"/>
  <c r="F15" i="5"/>
  <c r="F16" i="5" s="1"/>
  <c r="R57" i="3"/>
  <c r="R58" i="3"/>
  <c r="S56" i="3" s="1"/>
  <c r="Q44" i="3"/>
  <c r="J79" i="4" s="1"/>
  <c r="P43" i="3"/>
  <c r="Q42" i="3"/>
  <c r="N69" i="3"/>
  <c r="N49" i="3" s="1"/>
  <c r="O63" i="3"/>
  <c r="Q62" i="3"/>
  <c r="I52" i="4" l="1"/>
  <c r="J48" i="4" s="1"/>
  <c r="I53" i="4"/>
  <c r="I54" i="4"/>
  <c r="E40" i="2"/>
  <c r="K37" i="2"/>
  <c r="K33" i="2"/>
  <c r="K34" i="2"/>
  <c r="K36" i="2"/>
  <c r="E97" i="4"/>
  <c r="E98" i="4"/>
  <c r="E70" i="4"/>
  <c r="E53" i="2"/>
  <c r="E55" i="2" s="1"/>
  <c r="F24" i="4"/>
  <c r="F26" i="4" s="1"/>
  <c r="F64" i="4"/>
  <c r="I43" i="4"/>
  <c r="J39" i="4" s="1"/>
  <c r="I44" i="4"/>
  <c r="I45" i="4"/>
  <c r="U25" i="3"/>
  <c r="U28" i="3"/>
  <c r="G68" i="3"/>
  <c r="U21" i="3"/>
  <c r="S23" i="3"/>
  <c r="S39" i="3"/>
  <c r="S40" i="3"/>
  <c r="S41" i="3"/>
  <c r="S52" i="3"/>
  <c r="S53" i="3"/>
  <c r="L82" i="4" s="1"/>
  <c r="R24" i="3"/>
  <c r="R26" i="3"/>
  <c r="R22" i="3"/>
  <c r="R54" i="3"/>
  <c r="K80" i="4"/>
  <c r="Q27" i="3"/>
  <c r="Q30" i="3"/>
  <c r="H66" i="3"/>
  <c r="Q48" i="3"/>
  <c r="P31" i="3"/>
  <c r="I77" i="4"/>
  <c r="I14" i="5"/>
  <c r="I49" i="2"/>
  <c r="I51" i="2" s="1"/>
  <c r="P65" i="3"/>
  <c r="H27" i="5"/>
  <c r="H28" i="5" s="1"/>
  <c r="H52" i="2"/>
  <c r="H46" i="5"/>
  <c r="G37" i="5"/>
  <c r="F37" i="5"/>
  <c r="S57" i="3"/>
  <c r="S58" i="3"/>
  <c r="Q43" i="3"/>
  <c r="N50" i="3"/>
  <c r="O47" i="3" s="1"/>
  <c r="O50" i="3" s="1"/>
  <c r="P47" i="3" s="1"/>
  <c r="N32" i="3"/>
  <c r="P63" i="3"/>
  <c r="O69" i="3"/>
  <c r="O49" i="3" s="1"/>
  <c r="O32" i="3" s="1"/>
  <c r="R42" i="3"/>
  <c r="R44" i="3" s="1"/>
  <c r="K79" i="4" s="1"/>
  <c r="P64" i="3"/>
  <c r="R62" i="3"/>
  <c r="S62" i="3" s="1"/>
  <c r="J52" i="4" l="1"/>
  <c r="K48" i="4" s="1"/>
  <c r="J53" i="4"/>
  <c r="J54" i="4"/>
  <c r="F34" i="2"/>
  <c r="F35" i="2"/>
  <c r="F33" i="2"/>
  <c r="F36" i="2"/>
  <c r="F38" i="2"/>
  <c r="F37" i="2"/>
  <c r="E39" i="2"/>
  <c r="E5" i="6"/>
  <c r="F5" i="6" s="1"/>
  <c r="E99" i="4"/>
  <c r="E47" i="5"/>
  <c r="F72" i="4"/>
  <c r="F17" i="5" s="1"/>
  <c r="F71" i="4"/>
  <c r="F84" i="4" s="1"/>
  <c r="G21" i="4"/>
  <c r="J43" i="4"/>
  <c r="K39" i="4" s="1"/>
  <c r="J44" i="4"/>
  <c r="J45" i="4"/>
  <c r="U23" i="3"/>
  <c r="S24" i="3"/>
  <c r="S26" i="3"/>
  <c r="S22" i="3"/>
  <c r="U22" i="3" s="1"/>
  <c r="S54" i="3"/>
  <c r="L80" i="4"/>
  <c r="R27" i="3"/>
  <c r="R30" i="3"/>
  <c r="H67" i="3"/>
  <c r="R48" i="3"/>
  <c r="Q31" i="3"/>
  <c r="J49" i="2"/>
  <c r="J51" i="2" s="1"/>
  <c r="J77" i="4"/>
  <c r="J14" i="5"/>
  <c r="Q66" i="3"/>
  <c r="R66" i="3"/>
  <c r="S66" i="3" s="1"/>
  <c r="I27" i="5"/>
  <c r="I28" i="5" s="1"/>
  <c r="I52" i="2"/>
  <c r="I46" i="5"/>
  <c r="N33" i="3"/>
  <c r="G15" i="5"/>
  <c r="Q63" i="3"/>
  <c r="P69" i="3"/>
  <c r="P49" i="3" s="1"/>
  <c r="O33" i="3"/>
  <c r="H15" i="5"/>
  <c r="H16" i="5" s="1"/>
  <c r="R43" i="3"/>
  <c r="Q64" i="3"/>
  <c r="K40" i="2"/>
  <c r="S42" i="3"/>
  <c r="R65" i="3"/>
  <c r="S65" i="3" s="1"/>
  <c r="Q65" i="3"/>
  <c r="K52" i="4" l="1"/>
  <c r="L48" i="4" s="1"/>
  <c r="K53" i="4"/>
  <c r="K54" i="4"/>
  <c r="G39" i="2"/>
  <c r="G40" i="2" s="1"/>
  <c r="F39" i="2"/>
  <c r="E44" i="2"/>
  <c r="E100" i="4"/>
  <c r="E102" i="4" s="1"/>
  <c r="E48" i="5"/>
  <c r="E49" i="5" s="1"/>
  <c r="E54" i="5" s="1"/>
  <c r="E55" i="5" s="1"/>
  <c r="E59" i="5" s="1"/>
  <c r="E60" i="5" s="1"/>
  <c r="E50" i="5"/>
  <c r="E51" i="5" s="1"/>
  <c r="F19" i="5"/>
  <c r="F29" i="5"/>
  <c r="F56" i="5"/>
  <c r="F109" i="4"/>
  <c r="F104" i="4"/>
  <c r="G23" i="4"/>
  <c r="G24" i="4" s="1"/>
  <c r="G26" i="4" s="1"/>
  <c r="K44" i="4"/>
  <c r="K45" i="4"/>
  <c r="K43" i="4"/>
  <c r="L39" i="4" s="1"/>
  <c r="U26" i="3"/>
  <c r="S27" i="3"/>
  <c r="S30" i="3"/>
  <c r="H68" i="3"/>
  <c r="S68" i="3" s="1"/>
  <c r="S48" i="3"/>
  <c r="R31" i="3"/>
  <c r="K77" i="4"/>
  <c r="K14" i="5"/>
  <c r="K49" i="2"/>
  <c r="K51" i="2" s="1"/>
  <c r="S67" i="3"/>
  <c r="R67" i="3"/>
  <c r="J46" i="5"/>
  <c r="J52" i="2"/>
  <c r="J27" i="5"/>
  <c r="J28" i="5" s="1"/>
  <c r="R63" i="3"/>
  <c r="Q69" i="3"/>
  <c r="Q49" i="3" s="1"/>
  <c r="Q32" i="3" s="1"/>
  <c r="P50" i="3"/>
  <c r="Q47" i="3" s="1"/>
  <c r="Q50" i="3" s="1"/>
  <c r="R47" i="3" s="1"/>
  <c r="P32" i="3"/>
  <c r="H37" i="5"/>
  <c r="F40" i="2"/>
  <c r="R64" i="3"/>
  <c r="S64" i="3"/>
  <c r="S43" i="3"/>
  <c r="S44" i="3"/>
  <c r="L79" i="4" s="1"/>
  <c r="L52" i="4" l="1"/>
  <c r="L53" i="4"/>
  <c r="L54" i="4"/>
  <c r="E45" i="2"/>
  <c r="F43" i="2" s="1"/>
  <c r="E62" i="2"/>
  <c r="F44" i="2"/>
  <c r="E56" i="2" s="1"/>
  <c r="G44" i="2"/>
  <c r="G45" i="2" s="1"/>
  <c r="E63" i="2"/>
  <c r="E64" i="2"/>
  <c r="E65" i="2"/>
  <c r="E66" i="2"/>
  <c r="E67" i="2"/>
  <c r="E68" i="2"/>
  <c r="F100" i="4"/>
  <c r="E101" i="4"/>
  <c r="F31" i="5"/>
  <c r="F34" i="5" s="1"/>
  <c r="F21" i="5" s="1"/>
  <c r="F30" i="5"/>
  <c r="F38" i="5"/>
  <c r="H21" i="4"/>
  <c r="L43" i="4"/>
  <c r="L44" i="4"/>
  <c r="L45" i="4"/>
  <c r="U30" i="3"/>
  <c r="S31" i="3"/>
  <c r="L77" i="4"/>
  <c r="L14" i="5"/>
  <c r="L49" i="2"/>
  <c r="L51" i="2" s="1"/>
  <c r="K27" i="5"/>
  <c r="K28" i="5" s="1"/>
  <c r="K52" i="2"/>
  <c r="K46" i="5"/>
  <c r="S63" i="3"/>
  <c r="S69" i="3" s="1"/>
  <c r="S49" i="3" s="1"/>
  <c r="S32" i="3" s="1"/>
  <c r="S33" i="3" s="1"/>
  <c r="U33" i="3" s="1"/>
  <c r="R69" i="3"/>
  <c r="R49" i="3" s="1"/>
  <c r="Q33" i="3"/>
  <c r="J15" i="5"/>
  <c r="J16" i="5" s="1"/>
  <c r="P33" i="3"/>
  <c r="I15" i="5"/>
  <c r="I16" i="5" s="1"/>
  <c r="E57" i="2" l="1"/>
  <c r="F45" i="2"/>
  <c r="E6" i="6" s="1"/>
  <c r="F6" i="6" s="1"/>
  <c r="E69" i="2"/>
  <c r="G100" i="4"/>
  <c r="F33" i="5"/>
  <c r="F35" i="5" s="1"/>
  <c r="G32" i="5" s="1"/>
  <c r="F20" i="5"/>
  <c r="F23" i="5" s="1"/>
  <c r="F22" i="5" s="1"/>
  <c r="H23" i="4"/>
  <c r="H24" i="4" s="1"/>
  <c r="H26" i="4" s="1"/>
  <c r="L16" i="5"/>
  <c r="L27" i="5"/>
  <c r="L28" i="5" s="1"/>
  <c r="L46" i="5"/>
  <c r="L52" i="2"/>
  <c r="E12" i="6"/>
  <c r="F12" i="6" s="1"/>
  <c r="L15" i="5"/>
  <c r="U32" i="3"/>
  <c r="R50" i="3"/>
  <c r="S47" i="3" s="1"/>
  <c r="S50" i="3" s="1"/>
  <c r="R32" i="3"/>
  <c r="J37" i="5"/>
  <c r="I37" i="5"/>
  <c r="H100" i="4" l="1"/>
  <c r="F78" i="4"/>
  <c r="F81" i="4" s="1"/>
  <c r="F39" i="5"/>
  <c r="F24" i="5"/>
  <c r="I21" i="4"/>
  <c r="L37" i="5"/>
  <c r="R33" i="3"/>
  <c r="K15" i="5"/>
  <c r="K16" i="5" s="1"/>
  <c r="I100" i="4" l="1"/>
  <c r="F105" i="4"/>
  <c r="F108" i="4" s="1"/>
  <c r="F83" i="4"/>
  <c r="F40" i="5"/>
  <c r="F41" i="5"/>
  <c r="I23" i="4"/>
  <c r="I24" i="4"/>
  <c r="I26" i="4" s="1"/>
  <c r="K37" i="5"/>
  <c r="J100" i="4" l="1"/>
  <c r="F86" i="4"/>
  <c r="F106" i="4"/>
  <c r="F57" i="5"/>
  <c r="F58" i="5" s="1"/>
  <c r="J21" i="4"/>
  <c r="K100" i="4" l="1"/>
  <c r="F87" i="4"/>
  <c r="J23" i="4"/>
  <c r="J24" i="4"/>
  <c r="J26" i="4" s="1"/>
  <c r="L100" i="4" l="1"/>
  <c r="F58" i="4"/>
  <c r="K21" i="4"/>
  <c r="F59" i="4" l="1"/>
  <c r="F88" i="4"/>
  <c r="K23" i="4"/>
  <c r="K24" i="4" s="1"/>
  <c r="K26" i="4" s="1"/>
  <c r="G57" i="4" l="1"/>
  <c r="F60" i="4"/>
  <c r="F33" i="4"/>
  <c r="L21" i="4"/>
  <c r="G61" i="4" l="1"/>
  <c r="F89" i="4"/>
  <c r="F90" i="4" s="1"/>
  <c r="F93" i="4" s="1"/>
  <c r="F66" i="4"/>
  <c r="F34" i="4"/>
  <c r="L23" i="4"/>
  <c r="L24" i="4"/>
  <c r="L26" i="4" s="1"/>
  <c r="F68" i="4" l="1"/>
  <c r="F67" i="4"/>
  <c r="G29" i="4"/>
  <c r="F54" i="2"/>
  <c r="F69" i="4"/>
  <c r="G92" i="4"/>
  <c r="F53" i="2" l="1"/>
  <c r="F55" i="2" s="1"/>
  <c r="F70" i="4"/>
  <c r="F98" i="4"/>
  <c r="F97" i="4"/>
  <c r="G64" i="4"/>
  <c r="G32" i="4"/>
  <c r="G36" i="4" s="1"/>
  <c r="G31" i="4"/>
  <c r="G65" i="4" s="1"/>
  <c r="G85" i="4" s="1"/>
  <c r="F57" i="2" l="1"/>
  <c r="F56" i="2"/>
  <c r="F62" i="2" s="1"/>
  <c r="N62" i="2" s="1"/>
  <c r="F99" i="4"/>
  <c r="F47" i="5"/>
  <c r="G71" i="4"/>
  <c r="G84" i="4" s="1"/>
  <c r="G72" i="4"/>
  <c r="G17" i="5" s="1"/>
  <c r="F59" i="2" l="1"/>
  <c r="M62" i="2"/>
  <c r="F58" i="2" s="1"/>
  <c r="F101" i="4"/>
  <c r="F102" i="4"/>
  <c r="F48" i="5"/>
  <c r="F49" i="5"/>
  <c r="F54" i="5" s="1"/>
  <c r="F55" i="5" s="1"/>
  <c r="F59" i="5" s="1"/>
  <c r="F60" i="5" s="1"/>
  <c r="F50" i="5"/>
  <c r="F51" i="5" s="1"/>
  <c r="G104" i="4"/>
  <c r="G109" i="4"/>
  <c r="G56" i="5"/>
  <c r="G29" i="5"/>
  <c r="G19" i="5"/>
  <c r="G31" i="5" l="1"/>
  <c r="G34" i="5" s="1"/>
  <c r="G21" i="5" s="1"/>
  <c r="G30" i="5"/>
  <c r="G38" i="5"/>
  <c r="G33" i="5" l="1"/>
  <c r="G35" i="5" s="1"/>
  <c r="H32" i="5" s="1"/>
  <c r="G20" i="5"/>
  <c r="G23" i="5" s="1"/>
  <c r="G22" i="5" s="1"/>
  <c r="G24" i="5" l="1"/>
  <c r="G39" i="5"/>
  <c r="G78" i="4"/>
  <c r="G81" i="4" s="1"/>
  <c r="G41" i="5" l="1"/>
  <c r="G40" i="5"/>
  <c r="G83" i="4"/>
  <c r="G105" i="4"/>
  <c r="G108" i="4" s="1"/>
  <c r="G57" i="5" l="1"/>
  <c r="G58" i="5" s="1"/>
  <c r="G86" i="4"/>
  <c r="G106" i="4"/>
  <c r="G87" i="4" l="1"/>
  <c r="G58" i="4" l="1"/>
  <c r="G59" i="4" l="1"/>
  <c r="G88" i="4"/>
  <c r="H57" i="4" l="1"/>
  <c r="G60" i="4"/>
  <c r="G33" i="4"/>
  <c r="H61" i="4" l="1"/>
  <c r="G89" i="4"/>
  <c r="G90" i="4" s="1"/>
  <c r="G93" i="4" s="1"/>
  <c r="G66" i="4"/>
  <c r="G34" i="4"/>
  <c r="H29" i="4" l="1"/>
  <c r="G67" i="4"/>
  <c r="G68" i="4"/>
  <c r="G54" i="2"/>
  <c r="G69" i="4"/>
  <c r="H92" i="4"/>
  <c r="H64" i="4" l="1"/>
  <c r="H31" i="4"/>
  <c r="G98" i="4"/>
  <c r="G97" i="4"/>
  <c r="G53" i="2"/>
  <c r="G55" i="2" s="1"/>
  <c r="G70" i="4"/>
  <c r="G57" i="2" l="1"/>
  <c r="G56" i="2"/>
  <c r="G63" i="2" s="1"/>
  <c r="N63" i="2" s="1"/>
  <c r="G99" i="4"/>
  <c r="G47" i="5"/>
  <c r="H65" i="4"/>
  <c r="H85" i="4" s="1"/>
  <c r="H32" i="4"/>
  <c r="M63" i="2" l="1"/>
  <c r="G58" i="2" s="1"/>
  <c r="G59" i="2"/>
  <c r="G101" i="4"/>
  <c r="G102" i="4"/>
  <c r="G48" i="5"/>
  <c r="G49" i="5"/>
  <c r="G54" i="5" s="1"/>
  <c r="G55" i="5" s="1"/>
  <c r="G59" i="5" s="1"/>
  <c r="G60" i="5" s="1"/>
  <c r="G50" i="5"/>
  <c r="G51" i="5" s="1"/>
  <c r="H36" i="4"/>
  <c r="H71" i="4" l="1"/>
  <c r="H84" i="4" s="1"/>
  <c r="H72" i="4"/>
  <c r="H17" i="5" s="1"/>
  <c r="H104" i="4" l="1"/>
  <c r="H109" i="4"/>
  <c r="H56" i="5"/>
  <c r="H29" i="5"/>
  <c r="H19" i="5"/>
  <c r="H31" i="5" l="1"/>
  <c r="H34" i="5" s="1"/>
  <c r="H21" i="5" s="1"/>
  <c r="H30" i="5"/>
  <c r="H38" i="5"/>
  <c r="H33" i="5" l="1"/>
  <c r="H35" i="5" s="1"/>
  <c r="I32" i="5" s="1"/>
  <c r="H20" i="5"/>
  <c r="H23" i="5" s="1"/>
  <c r="H22" i="5" s="1"/>
  <c r="H24" i="5" l="1"/>
  <c r="H39" i="5"/>
  <c r="H78" i="4"/>
  <c r="H81" i="4" s="1"/>
  <c r="H41" i="5" l="1"/>
  <c r="H40" i="5"/>
  <c r="H83" i="4"/>
  <c r="H105" i="4"/>
  <c r="H108" i="4" s="1"/>
  <c r="H57" i="5" l="1"/>
  <c r="H58" i="5" s="1"/>
  <c r="H86" i="4"/>
  <c r="H106" i="4"/>
  <c r="H87" i="4" l="1"/>
  <c r="H58" i="4" l="1"/>
  <c r="H59" i="4" l="1"/>
  <c r="H88" i="4"/>
  <c r="I57" i="4" l="1"/>
  <c r="H60" i="4"/>
  <c r="H33" i="4"/>
  <c r="I61" i="4" l="1"/>
  <c r="H89" i="4"/>
  <c r="H90" i="4" s="1"/>
  <c r="H93" i="4" s="1"/>
  <c r="H66" i="4"/>
  <c r="H34" i="4"/>
  <c r="H68" i="4" l="1"/>
  <c r="H67" i="4"/>
  <c r="I29" i="4"/>
  <c r="H54" i="2"/>
  <c r="H69" i="4"/>
  <c r="I92" i="4"/>
  <c r="H53" i="2" l="1"/>
  <c r="H55" i="2" s="1"/>
  <c r="H70" i="4"/>
  <c r="H98" i="4"/>
  <c r="H97" i="4"/>
  <c r="I64" i="4"/>
  <c r="I31" i="4"/>
  <c r="H56" i="2" l="1"/>
  <c r="H64" i="2" s="1"/>
  <c r="N64" i="2" s="1"/>
  <c r="H57" i="2"/>
  <c r="H99" i="4"/>
  <c r="H47" i="5"/>
  <c r="I65" i="4"/>
  <c r="I85" i="4" s="1"/>
  <c r="I32" i="4"/>
  <c r="H59" i="2" l="1"/>
  <c r="M64" i="2"/>
  <c r="H58" i="2" s="1"/>
  <c r="H101" i="4"/>
  <c r="H102" i="4"/>
  <c r="H48" i="5"/>
  <c r="H49" i="5"/>
  <c r="H54" i="5" s="1"/>
  <c r="H55" i="5" s="1"/>
  <c r="H59" i="5" s="1"/>
  <c r="H60" i="5" s="1"/>
  <c r="H50" i="5"/>
  <c r="H51" i="5" s="1"/>
  <c r="I36" i="4"/>
  <c r="I72" i="4" l="1"/>
  <c r="I17" i="5" s="1"/>
  <c r="I71" i="4"/>
  <c r="I84" i="4" s="1"/>
  <c r="I56" i="5" l="1"/>
  <c r="I29" i="5"/>
  <c r="I19" i="5"/>
  <c r="I104" i="4"/>
  <c r="I109" i="4"/>
  <c r="I31" i="5" l="1"/>
  <c r="I34" i="5" s="1"/>
  <c r="I21" i="5" s="1"/>
  <c r="I30" i="5"/>
  <c r="I38" i="5"/>
  <c r="I33" i="5" l="1"/>
  <c r="I35" i="5" s="1"/>
  <c r="J32" i="5" s="1"/>
  <c r="I20" i="5"/>
  <c r="I23" i="5" s="1"/>
  <c r="I22" i="5" s="1"/>
  <c r="I24" i="5" s="1"/>
  <c r="I39" i="5"/>
  <c r="I78" i="4"/>
  <c r="I81" i="4" s="1"/>
  <c r="I40" i="5" l="1"/>
  <c r="I41" i="5"/>
  <c r="I105" i="4"/>
  <c r="I108" i="4" s="1"/>
  <c r="I83" i="4"/>
  <c r="I57" i="5" l="1"/>
  <c r="I58" i="5" s="1"/>
  <c r="I86" i="4"/>
  <c r="I106" i="4"/>
  <c r="I87" i="4" l="1"/>
  <c r="I58" i="4" l="1"/>
  <c r="I59" i="4" l="1"/>
  <c r="I88" i="4"/>
  <c r="J57" i="4" l="1"/>
  <c r="I60" i="4"/>
  <c r="I33" i="4"/>
  <c r="J61" i="4" l="1"/>
  <c r="I89" i="4"/>
  <c r="I90" i="4" s="1"/>
  <c r="I93" i="4" s="1"/>
  <c r="I66" i="4"/>
  <c r="I34" i="4"/>
  <c r="I67" i="4" l="1"/>
  <c r="I68" i="4"/>
  <c r="J29" i="4"/>
  <c r="J92" i="4"/>
  <c r="I54" i="2"/>
  <c r="I69" i="4"/>
  <c r="I98" i="4" l="1"/>
  <c r="I97" i="4"/>
  <c r="I53" i="2"/>
  <c r="I55" i="2" s="1"/>
  <c r="I70" i="4"/>
  <c r="J64" i="4"/>
  <c r="J31" i="4"/>
  <c r="I56" i="2" l="1"/>
  <c r="I65" i="2" s="1"/>
  <c r="N65" i="2" s="1"/>
  <c r="I57" i="2"/>
  <c r="I99" i="4"/>
  <c r="I47" i="5"/>
  <c r="J65" i="4"/>
  <c r="J85" i="4" s="1"/>
  <c r="J32" i="4"/>
  <c r="I59" i="2" l="1"/>
  <c r="M65" i="2"/>
  <c r="I58" i="2" s="1"/>
  <c r="I101" i="4"/>
  <c r="I102" i="4"/>
  <c r="I48" i="5"/>
  <c r="I49" i="5"/>
  <c r="I54" i="5" s="1"/>
  <c r="I55" i="5" s="1"/>
  <c r="I59" i="5" s="1"/>
  <c r="I60" i="5" s="1"/>
  <c r="I50" i="5"/>
  <c r="I51" i="5" s="1"/>
  <c r="J36" i="4"/>
  <c r="J72" i="4" l="1"/>
  <c r="J17" i="5" s="1"/>
  <c r="J71" i="4"/>
  <c r="J84" i="4" s="1"/>
  <c r="J56" i="5" l="1"/>
  <c r="J29" i="5"/>
  <c r="J19" i="5"/>
  <c r="J104" i="4"/>
  <c r="J109" i="4"/>
  <c r="J31" i="5" l="1"/>
  <c r="J34" i="5" s="1"/>
  <c r="J21" i="5" s="1"/>
  <c r="J30" i="5"/>
  <c r="J38" i="5"/>
  <c r="J33" i="5" l="1"/>
  <c r="J35" i="5" s="1"/>
  <c r="K32" i="5" s="1"/>
  <c r="J20" i="5"/>
  <c r="J23" i="5" s="1"/>
  <c r="J22" i="5" s="1"/>
  <c r="J24" i="5" l="1"/>
  <c r="J39" i="5"/>
  <c r="J78" i="4"/>
  <c r="J81" i="4" s="1"/>
  <c r="J41" i="5" l="1"/>
  <c r="J40" i="5"/>
  <c r="J83" i="4"/>
  <c r="J105" i="4"/>
  <c r="J108" i="4" s="1"/>
  <c r="J57" i="5" l="1"/>
  <c r="J58" i="5" s="1"/>
  <c r="J86" i="4"/>
  <c r="J106" i="4"/>
  <c r="J87" i="4" l="1"/>
  <c r="J58" i="4" l="1"/>
  <c r="J59" i="4" l="1"/>
  <c r="J88" i="4"/>
  <c r="K57" i="4" l="1"/>
  <c r="J60" i="4"/>
  <c r="J33" i="4"/>
  <c r="K61" i="4" l="1"/>
  <c r="J89" i="4"/>
  <c r="J90" i="4" s="1"/>
  <c r="J93" i="4" s="1"/>
  <c r="J66" i="4"/>
  <c r="J34" i="4"/>
  <c r="J67" i="4" l="1"/>
  <c r="J68" i="4"/>
  <c r="K29" i="4"/>
  <c r="J54" i="2"/>
  <c r="J69" i="4"/>
  <c r="K92" i="4"/>
  <c r="J98" i="4" l="1"/>
  <c r="J97" i="4"/>
  <c r="J53" i="2"/>
  <c r="J55" i="2" s="1"/>
  <c r="J70" i="4"/>
  <c r="K64" i="4"/>
  <c r="K31" i="4"/>
  <c r="J56" i="2" l="1"/>
  <c r="J57" i="2"/>
  <c r="J74" i="2"/>
  <c r="F74" i="2" s="1"/>
  <c r="I74" i="2"/>
  <c r="E74" i="2" s="1"/>
  <c r="K74" i="2"/>
  <c r="G74" i="2" s="1"/>
  <c r="J75" i="2"/>
  <c r="F75" i="2" s="1"/>
  <c r="I76" i="2"/>
  <c r="E76" i="2" s="1"/>
  <c r="K76" i="2"/>
  <c r="G76" i="2" s="1"/>
  <c r="I75" i="2"/>
  <c r="E75" i="2" s="1"/>
  <c r="K75" i="2"/>
  <c r="G75" i="2" s="1"/>
  <c r="J76" i="2"/>
  <c r="F76" i="2" s="1"/>
  <c r="J99" i="4"/>
  <c r="J47" i="5"/>
  <c r="K65" i="4"/>
  <c r="K85" i="4" s="1"/>
  <c r="K32" i="4"/>
  <c r="L20" i="2" l="1"/>
  <c r="J66" i="2"/>
  <c r="J101" i="4"/>
  <c r="J102" i="4"/>
  <c r="J48" i="5"/>
  <c r="J49" i="5"/>
  <c r="J54" i="5" s="1"/>
  <c r="J55" i="5" s="1"/>
  <c r="J59" i="5" s="1"/>
  <c r="J60" i="5" s="1"/>
  <c r="J50" i="5"/>
  <c r="J51" i="5" s="1"/>
  <c r="K36" i="4"/>
  <c r="N66" i="2" l="1"/>
  <c r="J69" i="2"/>
  <c r="K71" i="4"/>
  <c r="K84" i="4" s="1"/>
  <c r="K72" i="4"/>
  <c r="K17" i="5" s="1"/>
  <c r="J59" i="2" l="1"/>
  <c r="M66" i="2"/>
  <c r="J58" i="2" s="1"/>
  <c r="K104" i="4"/>
  <c r="K109" i="4"/>
  <c r="K56" i="5"/>
  <c r="K29" i="5"/>
  <c r="K19" i="5"/>
  <c r="K31" i="5" l="1"/>
  <c r="K34" i="5" s="1"/>
  <c r="K21" i="5" s="1"/>
  <c r="K30" i="5"/>
  <c r="K38" i="5"/>
  <c r="K33" i="5" l="1"/>
  <c r="K35" i="5" s="1"/>
  <c r="L32" i="5" s="1"/>
  <c r="K20" i="5"/>
  <c r="K23" i="5" s="1"/>
  <c r="K22" i="5" s="1"/>
  <c r="K24" i="5" s="1"/>
  <c r="K39" i="5"/>
  <c r="K78" i="4"/>
  <c r="K81" i="4" s="1"/>
  <c r="K40" i="5" l="1"/>
  <c r="K41" i="5"/>
  <c r="K105" i="4"/>
  <c r="K108" i="4" s="1"/>
  <c r="K83" i="4"/>
  <c r="K57" i="5" l="1"/>
  <c r="K58" i="5" s="1"/>
  <c r="K86" i="4"/>
  <c r="K106" i="4"/>
  <c r="K87" i="4" l="1"/>
  <c r="K58" i="4" l="1"/>
  <c r="K59" i="4" l="1"/>
  <c r="K88" i="4"/>
  <c r="L57" i="4" l="1"/>
  <c r="K60" i="4"/>
  <c r="K33" i="4"/>
  <c r="L61" i="4" l="1"/>
  <c r="K89" i="4"/>
  <c r="K90" i="4" s="1"/>
  <c r="K93" i="4" s="1"/>
  <c r="K66" i="4"/>
  <c r="K34" i="4"/>
  <c r="K54" i="2"/>
  <c r="K68" i="4" l="1"/>
  <c r="K67" i="4"/>
  <c r="L29" i="4"/>
  <c r="K69" i="4"/>
  <c r="L92" i="4"/>
  <c r="K53" i="2" l="1"/>
  <c r="K55" i="2" s="1"/>
  <c r="K70" i="4"/>
  <c r="K98" i="4"/>
  <c r="K97" i="4"/>
  <c r="L64" i="4"/>
  <c r="L31" i="4"/>
  <c r="K57" i="2" l="1"/>
  <c r="K56" i="2"/>
  <c r="K67" i="2" s="1"/>
  <c r="N67" i="2" s="1"/>
  <c r="K99" i="4"/>
  <c r="K47" i="5"/>
  <c r="L65" i="4"/>
  <c r="L85" i="4" s="1"/>
  <c r="L32" i="4"/>
  <c r="K59" i="2" l="1"/>
  <c r="M67" i="2"/>
  <c r="K58" i="2" s="1"/>
  <c r="K101" i="4"/>
  <c r="K102" i="4"/>
  <c r="K48" i="5"/>
  <c r="K49" i="5"/>
  <c r="K54" i="5" s="1"/>
  <c r="K55" i="5" s="1"/>
  <c r="K59" i="5" s="1"/>
  <c r="K60" i="5" s="1"/>
  <c r="K50" i="5"/>
  <c r="K51" i="5" s="1"/>
  <c r="L36" i="4"/>
  <c r="L72" i="4" l="1"/>
  <c r="L17" i="5" s="1"/>
  <c r="L71" i="4"/>
  <c r="L84" i="4" s="1"/>
  <c r="L56" i="5" l="1"/>
  <c r="L29" i="5"/>
  <c r="L19" i="5"/>
  <c r="L104" i="4"/>
  <c r="L109" i="4"/>
  <c r="L31" i="5" l="1"/>
  <c r="L34" i="5" s="1"/>
  <c r="L21" i="5" s="1"/>
  <c r="L30" i="5"/>
  <c r="L38" i="5"/>
  <c r="L33" i="5" l="1"/>
  <c r="L35" i="5" s="1"/>
  <c r="E64" i="5" s="1"/>
  <c r="L20" i="5"/>
  <c r="L23" i="5" s="1"/>
  <c r="L22" i="5" s="1"/>
  <c r="L24" i="5" l="1"/>
  <c r="L39" i="5"/>
  <c r="L78" i="4"/>
  <c r="L81" i="4" s="1"/>
  <c r="L41" i="5" l="1"/>
  <c r="L40" i="5"/>
  <c r="E63" i="5"/>
  <c r="E62" i="5"/>
  <c r="L83" i="4"/>
  <c r="L105" i="4"/>
  <c r="L108" i="4" s="1"/>
  <c r="E14" i="6" s="1"/>
  <c r="F14" i="6" s="1"/>
  <c r="L57" i="5" l="1"/>
  <c r="L58" i="5" s="1"/>
  <c r="L86" i="4"/>
  <c r="L106" i="4"/>
  <c r="L87" i="4" l="1"/>
  <c r="L58" i="4" l="1"/>
  <c r="L59" i="4" l="1"/>
  <c r="L60" i="4" s="1"/>
  <c r="L88" i="4"/>
  <c r="L33" i="4" l="1"/>
  <c r="L89" i="4" l="1"/>
  <c r="L90" i="4" s="1"/>
  <c r="L93" i="4" s="1"/>
  <c r="L66" i="4"/>
  <c r="L34" i="4"/>
  <c r="E10" i="6"/>
  <c r="F10" i="6" s="1"/>
  <c r="L54" i="2"/>
  <c r="L69" i="4"/>
  <c r="E11" i="6" l="1"/>
  <c r="F11" i="6" s="1"/>
  <c r="L68" i="4"/>
  <c r="L67" i="4"/>
  <c r="L53" i="2" l="1"/>
  <c r="L55" i="2" s="1"/>
  <c r="L70" i="4"/>
  <c r="L98" i="4"/>
  <c r="L97" i="4"/>
  <c r="L57" i="2" l="1"/>
  <c r="L56" i="2"/>
  <c r="L68" i="2" s="1"/>
  <c r="N68" i="2" s="1"/>
  <c r="L99" i="4"/>
  <c r="L47" i="5"/>
  <c r="M68" i="2" l="1"/>
  <c r="L59" i="2"/>
  <c r="N69" i="2"/>
  <c r="L19" i="2" s="1"/>
  <c r="L101" i="4"/>
  <c r="L102" i="4"/>
  <c r="E13" i="6" s="1"/>
  <c r="F13" i="6" s="1"/>
  <c r="L48" i="5"/>
  <c r="L49" i="5"/>
  <c r="L54" i="5" s="1"/>
  <c r="L55" i="5" s="1"/>
  <c r="L59" i="5" s="1"/>
  <c r="L60" i="5" s="1"/>
  <c r="L50" i="5"/>
  <c r="L51" i="5" s="1"/>
  <c r="M69" i="2" l="1"/>
  <c r="L18" i="2" s="1"/>
  <c r="L58" i="2"/>
</calcChain>
</file>

<file path=xl/sharedStrings.xml><?xml version="1.0" encoding="utf-8"?>
<sst xmlns="http://schemas.openxmlformats.org/spreadsheetml/2006/main" count="449" uniqueCount="335">
  <si>
    <t>Project Galicia v3 — Inditex (ITX.MC)</t>
  </si>
  <si>
    <t>Strictly Private &amp; Confidential</t>
  </si>
  <si>
    <t xml:space="preserve">&gt; </t>
  </si>
  <si>
    <t>LBO Summary — 100% Take-Private (OPA Exclusión) with Amancio Ortega Rollover to TopCo (Exits 2026E–2032E)</t>
  </si>
  <si>
    <t>&gt;</t>
  </si>
  <si>
    <t>1. Transaction Structure: 100% Take-Private via Free Float + Sandra Buyout &amp; Amancio Rollover</t>
  </si>
  <si>
    <t>Deal Valuation &amp; Ownership Perimeter (100% Inditex)</t>
  </si>
  <si>
    <t>Value / Input</t>
  </si>
  <si>
    <t>Multiples, Fees &amp; Headline Returns</t>
  </si>
  <si>
    <t>100% Inditex FY25A Pre-IFRS 16 Cash EBITDA (€m)</t>
  </si>
  <si>
    <t>Implied 100% Offer Enterprise Value (EV, €m)</t>
  </si>
  <si>
    <t>100% Inditex FY25A Reported Post-IFRS 16 EBITDA (€m)</t>
  </si>
  <si>
    <t>Implied Entry EV / Pre-IFRS 16 Cash EBITDA</t>
  </si>
  <si>
    <t>Current undisturbed share price (€/sh)</t>
  </si>
  <si>
    <t>Implied Entry EV / Reported Post-IFRS 16 EBITDA</t>
  </si>
  <si>
    <t>Take-Private OPA Offer Premium (%)</t>
  </si>
  <si>
    <t>Selected Exit Year (2026 to 2032)</t>
  </si>
  <si>
    <t>OPA Offer Price per share (€/sh)</t>
  </si>
  <si>
    <t>Total diluted shares outstanding (m)</t>
  </si>
  <si>
    <t>M&amp;A / OPA Advisory Entry Fees (% of Cash Takeover)</t>
  </si>
  <si>
    <t>Implied 100% Inditex Offer Equity Value (€m)</t>
  </si>
  <si>
    <t>Exit Transaction / Re-IPO Underwriting Fees (% EV)</t>
  </si>
  <si>
    <t>Amancio Ortega Rollover Stake to TopCo (%) [Pontegadea]</t>
  </si>
  <si>
    <t>Upfront Debt Fee Tax Amortization Horizon (years)</t>
  </si>
  <si>
    <t>Cash Takeover Stake (%) [35.65% Free Float + 5.05% Sandra]</t>
  </si>
  <si>
    <t>Active Operating Scenario</t>
  </si>
  <si>
    <t>Amancio Ortega Rollover Equity Value in TopCo (€m)</t>
  </si>
  <si>
    <t>Art. 16.5 LIS Debt / Total Equity Value (&lt; 70% Cap)</t>
  </si>
  <si>
    <t>Cash Takeover Purchase Price (Free Float + Sandra, €m)</t>
  </si>
  <si>
    <t>Minimum operational cash retained on 100% BS (€m)</t>
  </si>
  <si>
    <t>Sponsor IRR @ Selected Exit Year</t>
  </si>
  <si>
    <t>Existing statutory net cash on 100% BS (€m)</t>
  </si>
  <si>
    <t>Sponsor MOIC (Cash-on-Cash) @ Selected Exit Year</t>
  </si>
  <si>
    <t>100% Inditex Excess BS Cash Deployed at Close (€m)</t>
  </si>
  <si>
    <t>Sponsor Net Profit (€m) @ Selected Exit Year</t>
  </si>
  <si>
    <t>2. Debt Package (Sized on 100% EBITDA), Per-Tranche Upfront Fees, Sources &amp; Uses &amp; TopCo Equity</t>
  </si>
  <si>
    <t>LBO Debt Tranche / Facility (BidCo — 100% Inditex EBITDA)</t>
  </si>
  <si>
    <t>Committed (€m)</t>
  </si>
  <si>
    <t>Drawn (€m)</t>
  </si>
  <si>
    <t>xEBITDA (100%)</t>
  </si>
  <si>
    <t>Upfront Fee %</t>
  </si>
  <si>
    <t>Upfront Fee (€m)</t>
  </si>
  <si>
    <t>1A. Senior Term Loan A (TLA — 5y Amortising Bank Debt)</t>
  </si>
  <si>
    <t>1B. Senior Term Loan B (TLB — 7y Institutional Bullet)</t>
  </si>
  <si>
    <t>2. Subordinated / Mezzanine Debt (7.5y Bullet)</t>
  </si>
  <si>
    <t>3. Seller Vendor Loan (Sandra Ortega Deferred Note)</t>
  </si>
  <si>
    <t>4. Revolving Credit Facility (RCF — Negative NOF Line)</t>
  </si>
  <si>
    <t>Total LBO Debt Package &amp; Upfront Structuring Fees</t>
  </si>
  <si>
    <t>Sources of Funds (100% Take-Private)</t>
  </si>
  <si>
    <t>€m</t>
  </si>
  <si>
    <t>%</t>
  </si>
  <si>
    <t>xEBITDA</t>
  </si>
  <si>
    <t>Uses of Funds (100% Take-Private)</t>
  </si>
  <si>
    <t>1A. Senior Term Loan A (TLA)</t>
  </si>
  <si>
    <t>Cash OPA for Free Float + Sandra Stake (40.71%)</t>
  </si>
  <si>
    <t>1B. Senior Term Loan B (TLB)</t>
  </si>
  <si>
    <t>Amancio Ortega Rollover Shares Contributed (59.29%)</t>
  </si>
  <si>
    <t>2. Subordinated / Mezzanine Debt</t>
  </si>
  <si>
    <t>Upfront Debt Structuring Fees (TLA/TLB/Sub/RCF)</t>
  </si>
  <si>
    <t>3. Seller Vendor Loan (Sandra Deferred Note)</t>
  </si>
  <si>
    <t>M&amp;A, Legal &amp; OPA Advisory Costs (% Cash Takeover)</t>
  </si>
  <si>
    <t>100% Inditex Excess BS Cash Deployed at Close</t>
  </si>
  <si>
    <t>Minimum Operational Cash Retained on BS (€1,500m)</t>
  </si>
  <si>
    <t>Amancio Ortega Equity Rollover into TopCo</t>
  </si>
  <si>
    <t>Sponsor Cash Equity Ticket (Plug)</t>
  </si>
  <si>
    <t>Total Sources of Funds</t>
  </si>
  <si>
    <t>Total Uses of Funds</t>
  </si>
  <si>
    <t>TopCo Common Equity Ownership (100% Owner of BidCo / Inditex)</t>
  </si>
  <si>
    <t>Equity (€m)</t>
  </si>
  <si>
    <t>% TopCo</t>
  </si>
  <si>
    <t>Amancio Ortega (Pontegadea Rollover Equity in TopCo)</t>
  </si>
  <si>
    <t>Sponsor PE Consortium (Cash Equity Ticket in TopCo)</t>
  </si>
  <si>
    <t>Total TopCo Common Equity (100% Inditex Ownership)</t>
  </si>
  <si>
    <t>3. Multi-Year Exit Valuation (100% Inditex), Exit Fees &amp; Sponsor Returns Matrix (2026E–2032E)</t>
  </si>
  <si>
    <t>Exit Valuation &amp; Proceeds Breakdown (€m)</t>
  </si>
  <si>
    <t>100% Inditex Pre-IFRS 16 Cash EBITDA (€m)</t>
  </si>
  <si>
    <t>Exit Multiple (Pre-IFRS 16 EBITDAx)</t>
  </si>
  <si>
    <t>Gross Enterprise Value at Exit (100% Inditex EV)</t>
  </si>
  <si>
    <t>Less: Exit Transaction / Re-IPO Fees (% in L13)</t>
  </si>
  <si>
    <t>Less: EoP Gross LBO Debt (TLA + TLB + Sub + Vendor Loan + RCF)</t>
  </si>
  <si>
    <t>Plus: EoP 100% Inditex Cash Balance (incl. €1,500m Min Cash)</t>
  </si>
  <si>
    <t>Total TopCo Net Equity Value at Exit (100% Inditex)</t>
  </si>
  <si>
    <t>Sponsor PE Exit Equity Proceeds (% TopCo in F44)</t>
  </si>
  <si>
    <t>Amancio Ortega Rollover Exit Equity Proceeds (% TopCo in F43)</t>
  </si>
  <si>
    <t>Implied Sponsor IRR if Exited in Year (%)</t>
  </si>
  <si>
    <t>Implied Sponsor MOIC (Cash-on-Cash) if Exited in Year (x)</t>
  </si>
  <si>
    <t>Sponsor Cash Flow Schedule by Exit Year (2026E–2032E)</t>
  </si>
  <si>
    <t>Sponsor IRR</t>
  </si>
  <si>
    <t>Sponsor MOIC</t>
  </si>
  <si>
    <t>4. Sensitivity Analysis: OPA Offer Premium vs. Total Debt xEBITDA (@ Selected Exit Year)</t>
  </si>
  <si>
    <t>Offer Premium \ Total Debt xEBITDA (Sponsor IRR)</t>
  </si>
  <si>
    <t>4.5x (MOIC)</t>
  </si>
  <si>
    <t>5.5x (MOIC)</t>
  </si>
  <si>
    <t>6.5x (MOIC)</t>
  </si>
  <si>
    <t>Institutional Multi-Sheet LBO Model — 100% Take-Private + Amancio Ortega Rollover (2025A–2032E)</t>
  </si>
  <si>
    <t>Tab</t>
  </si>
  <si>
    <t>Worksheet Name</t>
  </si>
  <si>
    <t>Key Legal, Financial &amp; Tax Features + Interactive Switches (Blue Font / Soft Yellow Fill)</t>
  </si>
  <si>
    <t>LBO Summary</t>
  </si>
  <si>
    <t>100% Take-Private Executive Dashboard: Amancio Ortega rolls over his 59.29% stake (F14) into TopCo under the tax-neutral FEAC regime (Art. 87 LIS), while BidCo acquires the remaining 40.71% (35.65% Free Float + 5.05% Sandra Ortega) via a mandatory Take-Private OPA (RD 1066/2007). Includes Per-Tranche Upfront Fees, TopCo Equity split (88.1% Amancio / 11.9% Sponsor), 7-Year Exit Valuation Matrix (2026E–2032E), native IRR/MOIC Cash Flow Matrix, and 3x3 Sensitivity Table.</t>
  </si>
  <si>
    <t>Active Case</t>
  </si>
  <si>
    <t>100% Inditex Consolidated Operating Model (2022A–2032E): Because BidCo owns 100.0% of Inditex post-squeeze-out, there is zero minority leakage. Includes Scenario Selector (F8: 1=Base, 2=Bull, 3=Bear), P&amp;L with Pre-IFRS 16 Cash EBITDA Bridge (€9,433m in 2025A), Structural Negative Working Capital (NOF), and Capex split into Maintenance Capex (3.5% rev) vs. US &amp; Logistics Expansion Capex (1.7% rev, funded 100% organically).</t>
  </si>
  <si>
    <t>Debt &amp; Covenants</t>
  </si>
  <si>
    <t>Multi-Tranche Debt &amp; Covenant Schedule (2025A–2032E, 5.50x 100% EBITDA = €51,882m): Pricing split into Reference Euribor Swap (F7 = 2.75%) + Spread, Weighted Average Life of Loan (WALL), Interest on Average Balances (zero circularity), Senior TLA (1.5x, 5y amortising), Senior TLB (2.5x, 7y bullet), Subordinated Debt (1.0x, Cash/PIK switch in H10), Sandra Vendor Loan (0.5x, Cash/PIK switch in H11), €3,500m RCF as Seasonal Negative-NOF Backstop with Commitment Fee (G15), SFA Net Leverage Covenant with 25% Headroom (E16), and Bank DSCR.</t>
  </si>
  <si>
    <t>Tax &amp; WACC</t>
  </si>
  <si>
    <t>100% Fiscal Consolidation (Art. 58, 16.5 &amp; 16.1 LIS) &amp; Dynamic WACC (2025A–2032E): Tests the Spanish Anti-LBO Debt Cap (Art. 16.5 LIS: Acquisition Debt is 28.6% of total purchase value, well below the 70% statutory limit) and applies the 30% Operating EBITDA interest cap (Art. 16.1 LIS) with 5-year carryforwards and 7-year upfront fee amortization. Tracks Dynamic Levered Beta (Beta_L), Cost of Equity (Ke), Effective Tax Shield Rate (t_eff), and Dynamic WACC from 2025A to 2032E.</t>
  </si>
  <si>
    <t>Checks</t>
  </si>
  <si>
    <t>Automated Legal, Financial &amp; Tax Audit Panel: 10 real-time cross-sheet integrity checks verifying Sources &amp; Uses balance, TopCo 100% equity sum, Art. 58 LIS (&gt;=75%) consolidation, Art. 16.5 LIS (&lt;70%) anti-LBO debt cap, TLA 100% amortisation, €1,500m Minimum Cash floor, Non-negative debt balances, D&amp;A reconciliation, SFA Leverage Covenant, and DSCR compliance.</t>
  </si>
  <si>
    <t>Active Case — 100% Inditex Consolidated Operating Model (2022A–2032E), Pre-IFRS 16 Bridge, Negative NOF &amp; Capex Split</t>
  </si>
  <si>
    <t>1. Operating Scenario Drivers &amp; Presets (100% Inditex Consolidated — Zero Minority Leakage)</t>
  </si>
  <si>
    <t>Drivers</t>
  </si>
  <si>
    <t>1</t>
  </si>
  <si>
    <t>2</t>
  </si>
  <si>
    <t>3</t>
  </si>
  <si>
    <t>Active:</t>
  </si>
  <si>
    <t>31-Jan</t>
  </si>
  <si>
    <t>100% Inditex Consolidated Line Item</t>
  </si>
  <si>
    <t>Base</t>
  </si>
  <si>
    <t>Bull</t>
  </si>
  <si>
    <t>Bear</t>
  </si>
  <si>
    <t>Active Scenario Selector (1=Base, 2=Bull, 3=Bear)</t>
  </si>
  <si>
    <t>Select -&gt;</t>
  </si>
  <si>
    <t>Revenue growth (% YoY)</t>
  </si>
  <si>
    <t>Gross margin (% of revenues)</t>
  </si>
  <si>
    <t>OpEx growth (% YoY)</t>
  </si>
  <si>
    <t>Fixed lease cash outflow growth (%)</t>
  </si>
  <si>
    <t>Maintenance Capex (% of revenues)</t>
  </si>
  <si>
    <t>Expansion Capex: US Rollout &amp; Logistics (%)</t>
  </si>
  <si>
    <t>Inventory (% of revenues)</t>
  </si>
  <si>
    <t>Receivables (% of revenues)</t>
  </si>
  <si>
    <t>Payables (% of revenues, negative — NOF)</t>
  </si>
  <si>
    <t>P&amp;L</t>
  </si>
  <si>
    <t>CAGR</t>
  </si>
  <si>
    <t>22A-25A</t>
  </si>
  <si>
    <t>25A-32E</t>
  </si>
  <si>
    <t>Net Revenues (100% Inditex)</t>
  </si>
  <si>
    <t>COGS</t>
  </si>
  <si>
    <t>Gross Profit</t>
  </si>
  <si>
    <t>% Gross margin</t>
  </si>
  <si>
    <t>OpEx (Personnel, variable turnover rent &amp; SG&amp;A)</t>
  </si>
  <si>
    <t>Reported EBITDA (Post-IFRS 16 — 100% Inditex)</t>
  </si>
  <si>
    <t>% Reported EBITDA margin (Post-IFRS 16)</t>
  </si>
  <si>
    <t>Less: Fixed cash lease outflow (IFRS 16 Note 16 / CF Statement)</t>
  </si>
  <si>
    <t>Plus: Due Diligence Adjustments &amp; Normalizations</t>
  </si>
  <si>
    <t>Pre-IFRS 16 Normalized Cash EBITDA (100% Inditex — LBO Basis)</t>
  </si>
  <si>
    <t>% Pre-IFRS 16 Cash EBITDA margin</t>
  </si>
  <si>
    <t>D&amp;A (Owned PP&amp;E &amp; intangibles — 100% Inditex)</t>
  </si>
  <si>
    <t>Operating EBIT (Pre-IFRS 16 — 100% Inditex)</t>
  </si>
  <si>
    <t>NOF / WK</t>
  </si>
  <si>
    <t>Operating Working Capital (Structural Negative NOF — 100% Inditex)</t>
  </si>
  <si>
    <t>Inventory</t>
  </si>
  <si>
    <t>Trade &amp; other receivables</t>
  </si>
  <si>
    <t>Trade &amp; other payables (Supplier financing)</t>
  </si>
  <si>
    <t>Net Operating Working Capital (NOF EoP — 100% Inditex)</t>
  </si>
  <si>
    <t>NOF % of revenues (Negative = Supplier-funded float)</t>
  </si>
  <si>
    <t>Cash Flow from Working Capital (-ΔNOF — 100% Inditex)</t>
  </si>
  <si>
    <t>Capex Split (Maintenance vs. US/Logistics Expansion) &amp; D&amp;A Schedule (100% Inditex)</t>
  </si>
  <si>
    <t>BoP Net Fixed Assets (Owned PP&amp;E + Intangibles)</t>
  </si>
  <si>
    <t>Total Capex additions (Maintenance + Expansion)</t>
  </si>
  <si>
    <t>Total D&amp;A (Owned PP&amp;E + Intangibles)</t>
  </si>
  <si>
    <t>EoP Net Fixed Assets</t>
  </si>
  <si>
    <t>1. Maintenance Capex (Store refurbishments &amp; IT upkeep — 100%)</t>
  </si>
  <si>
    <t>2. Expansion Capex (US Flagship Rollout &amp; Logistics Hubs — 100%)</t>
  </si>
  <si>
    <t>Total Capex (100% Inditex — Funded Organically)</t>
  </si>
  <si>
    <t>BoP existing net fixed assets</t>
  </si>
  <si>
    <t>D&amp;A of existing fixed assets</t>
  </si>
  <si>
    <t>EoP existing net fixed assets</t>
  </si>
  <si>
    <t>Asset lifetime (years)</t>
  </si>
  <si>
    <t>First period D&amp;A impact</t>
  </si>
  <si>
    <t>Vintage</t>
  </si>
  <si>
    <t>Capex (€m)</t>
  </si>
  <si>
    <t>Total new capex D&amp;A (100% Inditex)</t>
  </si>
  <si>
    <t>Debt &amp; Covenants — 100% Inditex LBO Debt Schedule (2025A–2032E), RCF Negative-NOF Backstop, WALL, SFA Covenants &amp; DSCR</t>
  </si>
  <si>
    <t>1. Debt Tranche Pricing (Euribor + Spread), Sizing on 100% EBITDA, Tenor &amp; WALL</t>
  </si>
  <si>
    <t>Tranche / Facility (BidCo — 100% Consolidated Group)</t>
  </si>
  <si>
    <t>All-In Rate</t>
  </si>
  <si>
    <t>Spread / Fixed</t>
  </si>
  <si>
    <t>PIK (0=Cash,1=PIK)</t>
  </si>
  <si>
    <t>Tenor (Yrs)</t>
  </si>
  <si>
    <t>WALL (Yrs)</t>
  </si>
  <si>
    <t>Blended Initial Cost of Debt (E7) / Reference Euribor Swap (F7)</t>
  </si>
  <si>
    <t>2. Subordinated / Mezzanine Debt (Bullet; H10: 0=Cash, 1=PIK)</t>
  </si>
  <si>
    <t>3. Seller Vendor Loan (Sandra Note; H11: 0=Cash, 1=PIK)</t>
  </si>
  <si>
    <t>TLB mandatory annual amortisation (% — 0.0% = Bullet)</t>
  </si>
  <si>
    <t>TLB optional cash sweep (% — 0.0% = Hold to maturity)</t>
  </si>
  <si>
    <t>4. RCF Committed Limit (€m — Seasonal Negative-NOF Backstop)</t>
  </si>
  <si>
    <t>RCF Drawn Rate (E15) &amp; Undrawn Commitment Fee % p.a. (G15)</t>
  </si>
  <si>
    <t>SFA Net Leverage Covenant Headroom % (E16) &amp; Min DSCR (G16)</t>
  </si>
  <si>
    <t>Debt Sched</t>
  </si>
  <si>
    <t>100% Consolidated Group Line Item</t>
  </si>
  <si>
    <t>1A. Senior Term Loan A (TLA — 5y Amortising Bank Tranche)</t>
  </si>
  <si>
    <t>BoP TLA</t>
  </si>
  <si>
    <t>Initial draw at closing</t>
  </si>
  <si>
    <t>Scheduled repayment</t>
  </si>
  <si>
    <t>EoP TLA</t>
  </si>
  <si>
    <t>TLA scheduled amortisation %</t>
  </si>
  <si>
    <t>TLA cash interest (on Average Balance)</t>
  </si>
  <si>
    <t>BoP TLB</t>
  </si>
  <si>
    <t>Mandatory amortisation (% in E12)</t>
  </si>
  <si>
    <t>TLB balance before optional sweep</t>
  </si>
  <si>
    <t>Optional cash sweep (% in E13 — 0% default)</t>
  </si>
  <si>
    <t>EoP TLB</t>
  </si>
  <si>
    <t>TLB mandatory amortisation %</t>
  </si>
  <si>
    <t>TLB cash interest (on Average Balance)</t>
  </si>
  <si>
    <t>2. Subordinated / Mezzanine Debt (Bullet — Cash or PIK Switch in H10)</t>
  </si>
  <si>
    <t>BoP Subordinated debt</t>
  </si>
  <si>
    <t>PIK interest capitalised (if H10 = 1)</t>
  </si>
  <si>
    <t>Scheduled repayment (Bullet at maturity)</t>
  </si>
  <si>
    <t>EoP Subordinated debt</t>
  </si>
  <si>
    <t>Subordinated cash interest (if H10 = 0)</t>
  </si>
  <si>
    <t>Subordinated total P&amp;L interest (for Art. 16 LIS Tax Model)</t>
  </si>
  <si>
    <t>3. Seller Vendor Loan (Sandra Deferred Note — Cash or PIK Switch in H11)</t>
  </si>
  <si>
    <t>BoP Vendor Loan</t>
  </si>
  <si>
    <t>PIK interest capitalised (if H11 = 1)</t>
  </si>
  <si>
    <t>Scheduled repayment (Bullet at exit)</t>
  </si>
  <si>
    <t>EoP Vendor Loan</t>
  </si>
  <si>
    <t>Vendor Loan cash interest (if H11 = 0)</t>
  </si>
  <si>
    <t>Vendor Loan total P&amp;L interest (for Art. 16 LIS Tax Model)</t>
  </si>
  <si>
    <t>4. Revolving Credit Facility (RCF — Seasonal Negative-NOF Backstop)</t>
  </si>
  <si>
    <t>BoP RCF drawn</t>
  </si>
  <si>
    <t>RCF draw / (repayment)</t>
  </si>
  <si>
    <t>EoP RCF drawn</t>
  </si>
  <si>
    <t>Undrawn RCF available (Liquidity buffer for Negative NOF swings)</t>
  </si>
  <si>
    <t>Total RCF drawn interest &amp; undrawn commitment fee (% in G15)</t>
  </si>
  <si>
    <t>Total LBO Debt Summary (100% Consolidated Group)</t>
  </si>
  <si>
    <t>BoP Total Gross Debt</t>
  </si>
  <si>
    <t>Mandatory Scheduled Principal Repayment (TLA + TLB)</t>
  </si>
  <si>
    <t>Optional TLB Cash Sweep &amp; RCF Net Change</t>
  </si>
  <si>
    <t>EoP Senior Gross Debt (TLA + TLB + RCF)</t>
  </si>
  <si>
    <t>EoP Total Gross Financial Debt (incl. Sub &amp; Vendor Loan)</t>
  </si>
  <si>
    <t>Less: EoP 100% Inditex Cash Balance</t>
  </si>
  <si>
    <t>EoP Total Net Financial Debt (100% Consolidated Group)</t>
  </si>
  <si>
    <t>Total Cash Interest &amp; Commitment Fees Paid (CF Outflow)</t>
  </si>
  <si>
    <t>Total P&amp;L Financial Expense (Cash + PIK — to Tax &amp; WACC)</t>
  </si>
  <si>
    <t>Cash Flow</t>
  </si>
  <si>
    <t>100% Inditex Pre-IFRS 16 Cash EBITDA</t>
  </si>
  <si>
    <t>Cash Corporate Income Tax Paid (from Tax &amp; WACC — Art. 16 LIS)</t>
  </si>
  <si>
    <t>Maintenance Capex (100% Inditex)</t>
  </si>
  <si>
    <t>CFADS excl. Expansion Capex (Bank DSCR Numerator)</t>
  </si>
  <si>
    <t>Expansion Capex (US Flagships &amp; Logistics — 100% Organic)</t>
  </si>
  <si>
    <t>Cash Flow Available for Debt Service (100% Consolidated CFADS)</t>
  </si>
  <si>
    <t>Cash Interest &amp; RCF Commitment Fees Paid</t>
  </si>
  <si>
    <t>Mandatory Scheduled Debt Amortisation (TLA + TLB)</t>
  </si>
  <si>
    <t>Free Cash Flow to Equity after Mandatory Debt Service</t>
  </si>
  <si>
    <t>Excess Cash Available above €1,500m Minimum Operational Cash</t>
  </si>
  <si>
    <t>RCF Draw / (Repayment)</t>
  </si>
  <si>
    <t>Optional TLB Cash Sweep (0% Default)</t>
  </si>
  <si>
    <t>Net Change in Cash Balance</t>
  </si>
  <si>
    <t>BoP 100% Inditex Cash Balance</t>
  </si>
  <si>
    <t>EoP 100% Inditex Cash Balance (Retained on Balance Sheet)</t>
  </si>
  <si>
    <t>4. Financial Covenants Monitoring (SFA Net Leverage Step-Downs, Headroom &amp; DSCR — 2025A–2032E)</t>
  </si>
  <si>
    <t>Senior Net Debt / 100% Pre-IFRS 16 EBITDA (x)</t>
  </si>
  <si>
    <t>Total Bank &amp; Sub Net Debt (excl. Vendor Loan) / EBITDA (x)</t>
  </si>
  <si>
    <t>Total Net Debt (incl. Vendor Loan) / 100% EBITDA (x)</t>
  </si>
  <si>
    <t>SFA Max Net Leverage Covenant (25% Entry Headroom + Step-Downs)</t>
  </si>
  <si>
    <t>Net Leverage Covenant Cushion (Max Covenant - Actual)</t>
  </si>
  <si>
    <t>Net Leverage Covenant Compliance Check</t>
  </si>
  <si>
    <t>Total Debt Service (Cash Interest + Mandatory TLA/TLB Principal)</t>
  </si>
  <si>
    <t>DSCR (CFADS excl. Expansion Capex / Debt Service — Project Atlantic)</t>
  </si>
  <si>
    <t>DSCR (Total CFADS after US Expansion Capex / Debt Service)</t>
  </si>
  <si>
    <t>Minimum DSCR Covenant Threshold (G16)</t>
  </si>
  <si>
    <t>DSCR Covenant Compliance Check</t>
  </si>
  <si>
    <t>Cash Interest Coverage Ratio (100% EBITDA / Cash Interest)</t>
  </si>
  <si>
    <t>Tax &amp; WACC — 100% Fiscal Consolidation (Art. 58, 16.5 &amp; 16.1 LIS) &amp; Dynamic WACC Evolution (2025A–2032E)</t>
  </si>
  <si>
    <t>1. Spanish Corporate Tax Consolidation (Art. 58 LIS), Anti-LBO Test (Art. 16.5) &amp; 30% EBITDA Cap (Art. 16.1)</t>
  </si>
  <si>
    <t>Spanish Tax Consolidation &amp; WACC Parameters</t>
  </si>
  <si>
    <t>Spanish Statutory Corporate Tax Rate (CIT %)</t>
  </si>
  <si>
    <t>Risk-Free Rate — 10Y Spanish Bono (Rf %)</t>
  </si>
  <si>
    <t>Art. 16.1 LIS Interest Deductibility Cap (% EBITDA)</t>
  </si>
  <si>
    <t>Equity Market Risk Premium (ERP %)</t>
  </si>
  <si>
    <t>Art. 16.1 LIS Minimum Deductible Franchise (€m)</t>
  </si>
  <si>
    <t>Inditex Unlevered Asset Beta (Beta_U)</t>
  </si>
  <si>
    <t>Art. 16.5 LIS Max LBO Debt / Purchase Value (70%)</t>
  </si>
  <si>
    <t>Actual BidCo Acquisition Debt / Purchase Value</t>
  </si>
  <si>
    <t>Upfront Financing Fees Total (€m — Amortised)</t>
  </si>
  <si>
    <t>Amortization Period for Upfront Fees (Yrs)</t>
  </si>
  <si>
    <t>CIT Model</t>
  </si>
  <si>
    <t>100% Inditex D&amp;A (Owned PP&amp;E + Intangibles)</t>
  </si>
  <si>
    <t>100% Inditex Operating EBIT (Unlevered Tax Base)</t>
  </si>
  <si>
    <t>Gross BidCo LBO Financial Expenses (Cash + PIK Interest)</t>
  </si>
  <si>
    <t>Tax Amortization of Upfront Structuring Fees (Linear over 7y)</t>
  </si>
  <si>
    <t>Consolidated Accounting EBT before Art. 16.1 LIS Cap</t>
  </si>
  <si>
    <t>Plus: Non-Deductible Interest Added Back (&gt; 30% EBITDA Cap)</t>
  </si>
  <si>
    <t>Less: Prior-Year Non-Deducted Interest Recovered in Period</t>
  </si>
  <si>
    <t>Cash Corporate Income Tax Paid (CIT @ 25% on Consolidated Tax Base)</t>
  </si>
  <si>
    <t>Adjusted Consolidated Taxable Income (Base Imponible Fiscal)</t>
  </si>
  <si>
    <t>Consolidated Net Income (100% Group Post-CIT)</t>
  </si>
  <si>
    <t>Art. 16.1 LIS — 30% Operating EBITDA Cap &amp; Carryforward Schedule</t>
  </si>
  <si>
    <t>100% Fiscal Operating EBITDA (Pre-IFRS 16 Cash EBITDA)</t>
  </si>
  <si>
    <t>30% EBITDA Interest Deductibility Limit (MAX 30% EBITDA, €1m)</t>
  </si>
  <si>
    <t>Total Financial Expense Subject to Art. 16.1 LIS (Interest + Fee Amort.)</t>
  </si>
  <si>
    <t>Current-Year Non-Deductible Financial Expense (Excess over 30% Cap)</t>
  </si>
  <si>
    <t>Unused 30% EBITDA Headroom Generated in Year (5-Year Carryforward)</t>
  </si>
  <si>
    <t>BoP Non-Deducted Interest Carryforward Balance</t>
  </si>
  <si>
    <t>Plus: New Non-Deductible Interest in Year</t>
  </si>
  <si>
    <t>Less: Carryforward Interest Deducted Using Unused EBITDA Capacity</t>
  </si>
  <si>
    <t>EoP Non-Deducted Interest Carryforward Balance (Tax Asset)</t>
  </si>
  <si>
    <t>Unlevered Taxes (Hypothetical CIT if Debt = 0)</t>
  </si>
  <si>
    <t>Theoretical Maximum Tax Shield (25% × Total Interest + Fee Amort.)</t>
  </si>
  <si>
    <t>Actual Realized Cash Tax Shield (Unlevered CIT - Actual Levered CIT)</t>
  </si>
  <si>
    <t>Tax Shield Efficiency (% of Theoretical Shield Realized in Cash)</t>
  </si>
  <si>
    <t>Effective Tax Shield Rate on Financial Expenses (t_eff %)</t>
  </si>
  <si>
    <t>2. Dynamic WACC Evolution Due to De-Leveraging &amp; Art. 16.1 LIS Tax Shield (2025A–2032E)</t>
  </si>
  <si>
    <t>Implied 100% Inditex Enterprise Value (EV at Entry Multiple)</t>
  </si>
  <si>
    <t>100% Consolidated Net Financial Debt (EoP)</t>
  </si>
  <si>
    <t>Implied 100% TopCo Equity Value (E = EV - Net Debt)</t>
  </si>
  <si>
    <t>Net Debt / Equity Ratio (D / E)</t>
  </si>
  <si>
    <t>Debt Weight in Capital Structure (D / V)</t>
  </si>
  <si>
    <t>Equity Weight in Capital Structure (E / V)</t>
  </si>
  <si>
    <t>Unlevered Cost of Equity (Ku = Rf + Beta_U × ERP)</t>
  </si>
  <si>
    <t>Dynamic Levered Beta: Beta_L = Beta_U × [1 + (1 - t_eff) × (D/E)]</t>
  </si>
  <si>
    <t>Dynamic Cost of Levered Equity: Ke = Rf + Beta_L × ERP</t>
  </si>
  <si>
    <t>Pre-Tax Blended Cost of Debt (Kd Pre-Tax)</t>
  </si>
  <si>
    <t>Effective Tax Shield Rate (t_eff — Capped/Boosted by Art. 16.1 LIS)</t>
  </si>
  <si>
    <t>After-Tax Effective Cost of Debt: Kd × (1 - t_eff)</t>
  </si>
  <si>
    <t>Dynamic WACC (Modigliani-Miller / Hamada w/ Spanish Tax Cap)</t>
  </si>
  <si>
    <t>WACC Reduction vs. Unlevered Ku (Net Tax Shield Benefit)</t>
  </si>
  <si>
    <t>Cumulative Cash Tax Shield Realized (2026E–2032E, €m)</t>
  </si>
  <si>
    <t>Present Value of Realized Tax Shields Discounted @ Ku (APV Tax Shield, €m)</t>
  </si>
  <si>
    <t>Remaining Non-Deducted Interest Tax Asset at 2032E Exit (€m)</t>
  </si>
  <si>
    <t>Master Model Integrity, Legal Take-Private &amp; Spanish Tax Compliance Checks</t>
  </si>
  <si>
    <t>ID</t>
  </si>
  <si>
    <t>Audit Check Description</t>
  </si>
  <si>
    <t>Diff / Metric</t>
  </si>
  <si>
    <t>Status</t>
  </si>
  <si>
    <t>1. Sources &amp; Uses of Funds Balance Check</t>
  </si>
  <si>
    <t>2. TopCo Common Equity Ownership Sums to 100.0%</t>
  </si>
  <si>
    <t>3. Art. 58 LIS Fiscal Consolidation Threshold (&gt;= 75% = 100%)</t>
  </si>
  <si>
    <t>4. Art. 16.5 LIS Anti-LBO Debt Cap (Debt &lt; 70% Purchase Value)</t>
  </si>
  <si>
    <t>5. Senior TLA Scheduled Amortisation Sums to 100%</t>
  </si>
  <si>
    <t>6. Minimum Operational Cash Floor (€1,500m) Respected</t>
  </si>
  <si>
    <t>7. Non-Negative Debt Tranche Balances (All Years)</t>
  </si>
  <si>
    <t>8. P&amp;L D&amp;A Reconciled to Capex Vintage Schedule</t>
  </si>
  <si>
    <t>9. SFA Net Leverage Covenant Compliance (All Years)</t>
  </si>
  <si>
    <t>10. Bank DSCR Covenant Compliance (All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</si>
</sst>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_);\(#,##0.0\);&quot;- &quot;"/>
    <numFmt numFmtId="169" formatCode="0&quot;A&quot;"/>
    <numFmt numFmtId="171" formatCode="0&quot;E&quot;"/>
    <numFmt numFmtId="173" formatCode="#,##0.0%_);\(#,##0.0%\);&quot;- &quot;"/>
    <numFmt numFmtId="187" formatCode="#,##0.00_);\(#,##0.00\);&quot;- &quot;"/>
    <numFmt numFmtId="188" formatCode="#,##0.0&quot;x&quot;_);\(#,##0.0&quot;x&quot;\);&quot;- &quot;"/>
    <numFmt numFmtId="189" formatCode="#,##0.00&quot;x&quot;_);\(#,##0.00&quot;x&quot;\);&quot;- &quot;"/>
  </numFmts>
  <fonts count="14" x14ac:knownFonts="1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b/>
      <sz val="12"/>
      <color theme="1"/>
      <name val="Arial"/>
    </font>
    <font>
      <b/>
      <sz val="10"/>
      <color theme="1"/>
      <name val="Arial"/>
    </font>
    <font>
      <b/>
      <i/>
      <sz val="8"/>
      <color theme="1"/>
      <name val="Arial"/>
    </font>
    <font>
      <b/>
      <sz val="8"/>
      <color rgb="FF4A5568"/>
      <name val="Arial"/>
    </font>
    <font>
      <b/>
      <sz val="8"/>
      <color rgb="FF000000"/>
      <name val="Arial"/>
    </font>
    <font>
      <i/>
      <sz val="8"/>
      <color rgb="FF333333"/>
      <name val="Arial"/>
    </font>
    <font>
      <b/>
      <sz val="8"/>
      <color rgb="FF0000FF"/>
      <name val="Arial"/>
    </font>
    <font>
      <sz val="8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b/>
      <sz val="8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6DDE7"/>
      </patternFill>
    </fill>
    <fill>
      <patternFill patternType="solid">
        <fgColor rgb="FFEDEDED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6F4EA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164" fontId="0" fillId="0" borderId="0" xfId="0" applyNumberFormat="1"/>
    <xf numFmtId="173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0" xfId="0" applyFont="1"/>
    <xf numFmtId="0" fontId="7" fillId="4" borderId="1" xfId="0" applyFont="1" applyFill="1" applyBorder="1"/>
    <xf numFmtId="0" fontId="7" fillId="5" borderId="1" xfId="0" applyFont="1" applyFill="1" applyBorder="1"/>
    <xf numFmtId="0" fontId="7" fillId="5" borderId="1" xfId="0" applyFont="1" applyFill="1" applyBorder="1" applyAlignment="1">
      <alignment horizontal="right" vertical="center"/>
    </xf>
    <xf numFmtId="0" fontId="7" fillId="0" borderId="0" xfId="0" applyFont="1"/>
    <xf numFmtId="164" fontId="7" fillId="0" borderId="0" xfId="0" applyNumberFormat="1" applyFont="1" applyAlignment="1">
      <alignment horizontal="right" vertical="center"/>
    </xf>
    <xf numFmtId="0" fontId="10" fillId="0" borderId="0" xfId="0" applyFont="1"/>
    <xf numFmtId="164" fontId="8" fillId="0" borderId="0" xfId="0" applyNumberFormat="1" applyFont="1" applyAlignment="1">
      <alignment horizontal="right" vertical="center"/>
    </xf>
    <xf numFmtId="188" fontId="7" fillId="0" borderId="0" xfId="0" applyNumberFormat="1" applyFont="1" applyAlignment="1">
      <alignment horizontal="right" vertical="center"/>
    </xf>
    <xf numFmtId="187" fontId="11" fillId="0" borderId="0" xfId="0" applyNumberFormat="1" applyFont="1" applyAlignment="1">
      <alignment horizontal="right" vertical="center"/>
    </xf>
    <xf numFmtId="188" fontId="8" fillId="0" borderId="0" xfId="0" applyNumberFormat="1" applyFont="1" applyAlignment="1">
      <alignment horizontal="right" vertical="center"/>
    </xf>
    <xf numFmtId="173" fontId="9" fillId="7" borderId="2" xfId="0" applyNumberFormat="1" applyFont="1" applyFill="1" applyBorder="1" applyAlignment="1">
      <alignment horizontal="right" vertical="center"/>
    </xf>
    <xf numFmtId="1" fontId="9" fillId="7" borderId="2" xfId="0" applyNumberFormat="1" applyFont="1" applyFill="1" applyBorder="1" applyAlignment="1">
      <alignment horizontal="right" vertical="center"/>
    </xf>
    <xf numFmtId="187" fontId="7" fillId="0" borderId="0" xfId="0" applyNumberFormat="1" applyFont="1" applyAlignment="1">
      <alignment horizontal="right" vertical="center"/>
    </xf>
    <xf numFmtId="188" fontId="9" fillId="7" borderId="2" xfId="0" applyNumberFormat="1" applyFont="1" applyFill="1" applyBorder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10" fontId="9" fillId="7" borderId="2" xfId="0" applyNumberFormat="1" applyFont="1" applyFill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73" fontId="7" fillId="0" borderId="0" xfId="0" applyNumberFormat="1" applyFont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173" fontId="7" fillId="8" borderId="2" xfId="0" applyNumberFormat="1" applyFont="1" applyFill="1" applyBorder="1" applyAlignment="1">
      <alignment horizontal="right" vertical="center"/>
    </xf>
    <xf numFmtId="188" fontId="7" fillId="8" borderId="2" xfId="0" applyNumberFormat="1" applyFont="1" applyFill="1" applyBorder="1" applyAlignment="1">
      <alignment horizontal="right" vertical="center"/>
    </xf>
    <xf numFmtId="164" fontId="10" fillId="0" borderId="0" xfId="0" applyNumberFormat="1" applyFont="1"/>
    <xf numFmtId="164" fontId="7" fillId="0" borderId="0" xfId="0" applyNumberFormat="1" applyFont="1"/>
    <xf numFmtId="188" fontId="10" fillId="0" borderId="0" xfId="0" applyNumberFormat="1" applyFont="1"/>
    <xf numFmtId="10" fontId="11" fillId="0" borderId="0" xfId="0" applyNumberFormat="1" applyFont="1"/>
    <xf numFmtId="164" fontId="11" fillId="0" borderId="0" xfId="0" applyNumberFormat="1" applyFont="1"/>
    <xf numFmtId="0" fontId="7" fillId="6" borderId="3" xfId="0" applyFont="1" applyFill="1" applyBorder="1"/>
    <xf numFmtId="164" fontId="7" fillId="6" borderId="3" xfId="0" applyNumberFormat="1" applyFont="1" applyFill="1" applyBorder="1"/>
    <xf numFmtId="188" fontId="7" fillId="6" borderId="3" xfId="0" applyNumberFormat="1" applyFont="1" applyFill="1" applyBorder="1"/>
    <xf numFmtId="10" fontId="7" fillId="6" borderId="3" xfId="0" applyNumberFormat="1" applyFont="1" applyFill="1" applyBorder="1"/>
    <xf numFmtId="173" fontId="10" fillId="0" borderId="0" xfId="0" applyNumberFormat="1" applyFont="1"/>
    <xf numFmtId="173" fontId="7" fillId="0" borderId="0" xfId="0" applyNumberFormat="1" applyFont="1"/>
    <xf numFmtId="188" fontId="7" fillId="0" borderId="0" xfId="0" applyNumberFormat="1" applyFont="1"/>
    <xf numFmtId="173" fontId="7" fillId="6" borderId="3" xfId="0" applyNumberFormat="1" applyFont="1" applyFill="1" applyBorder="1"/>
    <xf numFmtId="10" fontId="7" fillId="0" borderId="0" xfId="0" applyNumberFormat="1" applyFont="1"/>
    <xf numFmtId="188" fontId="0" fillId="0" borderId="0" xfId="0" applyNumberFormat="1"/>
    <xf numFmtId="169" fontId="7" fillId="5" borderId="1" xfId="0" applyNumberFormat="1" applyFont="1" applyFill="1" applyBorder="1" applyAlignment="1">
      <alignment horizontal="center" vertical="center"/>
    </xf>
    <xf numFmtId="171" fontId="7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164" fontId="7" fillId="6" borderId="1" xfId="0" applyNumberFormat="1" applyFont="1" applyFill="1" applyBorder="1"/>
    <xf numFmtId="171" fontId="7" fillId="0" borderId="0" xfId="0" applyNumberFormat="1" applyFont="1"/>
    <xf numFmtId="0" fontId="7" fillId="8" borderId="3" xfId="0" applyFont="1" applyFill="1" applyBorder="1"/>
    <xf numFmtId="164" fontId="7" fillId="8" borderId="3" xfId="0" applyNumberFormat="1" applyFont="1" applyFill="1" applyBorder="1"/>
    <xf numFmtId="173" fontId="7" fillId="8" borderId="3" xfId="0" applyNumberFormat="1" applyFont="1" applyFill="1" applyBorder="1"/>
    <xf numFmtId="188" fontId="7" fillId="8" borderId="3" xfId="0" applyNumberFormat="1" applyFont="1" applyFill="1" applyBorder="1"/>
    <xf numFmtId="0" fontId="7" fillId="5" borderId="0" xfId="0" applyFont="1" applyFill="1"/>
    <xf numFmtId="188" fontId="9" fillId="5" borderId="0" xfId="0" applyNumberFormat="1" applyFont="1" applyFill="1" applyAlignment="1">
      <alignment horizontal="right" vertical="center"/>
    </xf>
    <xf numFmtId="0" fontId="7" fillId="5" borderId="0" xfId="0" applyFont="1" applyFill="1" applyAlignment="1">
      <alignment horizontal="right" vertical="center"/>
    </xf>
    <xf numFmtId="173" fontId="9" fillId="5" borderId="0" xfId="0" applyNumberFormat="1" applyFont="1" applyFill="1" applyAlignment="1">
      <alignment horizontal="right" vertical="center"/>
    </xf>
    <xf numFmtId="173" fontId="10" fillId="0" borderId="2" xfId="0" applyNumberFormat="1" applyFont="1" applyBorder="1"/>
    <xf numFmtId="188" fontId="10" fillId="0" borderId="2" xfId="0" applyNumberFormat="1" applyFont="1" applyBorder="1"/>
    <xf numFmtId="173" fontId="7" fillId="6" borderId="2" xfId="0" applyNumberFormat="1" applyFont="1" applyFill="1" applyBorder="1"/>
    <xf numFmtId="188" fontId="7" fillId="6" borderId="2" xfId="0" applyNumberFormat="1" applyFont="1" applyFill="1" applyBorder="1"/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3" fontId="11" fillId="0" borderId="0" xfId="0" applyNumberFormat="1" applyFont="1" applyAlignment="1">
      <alignment horizontal="right" vertical="center"/>
    </xf>
    <xf numFmtId="173" fontId="7" fillId="6" borderId="0" xfId="0" applyNumberFormat="1" applyFont="1" applyFill="1" applyAlignment="1">
      <alignment horizontal="right" vertical="center"/>
    </xf>
    <xf numFmtId="173" fontId="12" fillId="0" borderId="0" xfId="0" applyNumberFormat="1" applyFont="1" applyAlignment="1">
      <alignment horizontal="right" vertical="center"/>
    </xf>
    <xf numFmtId="173" fontId="8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/>
    <xf numFmtId="173" fontId="7" fillId="6" borderId="1" xfId="0" applyNumberFormat="1" applyFont="1" applyFill="1" applyBorder="1"/>
    <xf numFmtId="0" fontId="8" fillId="0" borderId="0" xfId="0" applyFont="1"/>
    <xf numFmtId="173" fontId="8" fillId="0" borderId="0" xfId="0" applyNumberFormat="1" applyFont="1"/>
    <xf numFmtId="164" fontId="12" fillId="0" borderId="0" xfId="0" applyNumberFormat="1" applyFont="1"/>
    <xf numFmtId="164" fontId="11" fillId="6" borderId="3" xfId="0" applyNumberFormat="1" applyFont="1" applyFill="1" applyBorder="1"/>
    <xf numFmtId="164" fontId="9" fillId="6" borderId="3" xfId="0" applyNumberFormat="1" applyFont="1" applyFill="1" applyBorder="1"/>
    <xf numFmtId="2" fontId="11" fillId="0" borderId="0" xfId="0" applyNumberFormat="1" applyFont="1"/>
    <xf numFmtId="173" fontId="11" fillId="0" borderId="0" xfId="0" applyNumberFormat="1" applyFont="1"/>
    <xf numFmtId="0" fontId="7" fillId="0" borderId="0" xfId="0" applyFont="1" applyAlignment="1">
      <alignment horizontal="right" vertical="center"/>
    </xf>
    <xf numFmtId="171" fontId="10" fillId="0" borderId="0" xfId="0" applyNumberFormat="1" applyFont="1" applyAlignment="1">
      <alignment horizontal="center" vertical="center"/>
    </xf>
    <xf numFmtId="10" fontId="9" fillId="7" borderId="2" xfId="0" applyNumberFormat="1" applyFont="1" applyFill="1" applyBorder="1"/>
    <xf numFmtId="2" fontId="7" fillId="0" borderId="0" xfId="0" applyNumberFormat="1" applyFont="1"/>
    <xf numFmtId="188" fontId="11" fillId="0" borderId="0" xfId="0" applyNumberFormat="1" applyFont="1"/>
    <xf numFmtId="0" fontId="0" fillId="0" borderId="0" xfId="0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3" fontId="9" fillId="7" borderId="2" xfId="0" applyNumberFormat="1" applyFont="1" applyFill="1" applyBorder="1"/>
    <xf numFmtId="164" fontId="9" fillId="7" borderId="2" xfId="0" applyNumberFormat="1" applyFont="1" applyFill="1" applyBorder="1"/>
    <xf numFmtId="189" fontId="9" fillId="7" borderId="2" xfId="0" applyNumberFormat="1" applyFont="1" applyFill="1" applyBorder="1"/>
    <xf numFmtId="173" fontId="11" fillId="7" borderId="0" xfId="0" applyNumberFormat="1" applyFont="1" applyFill="1"/>
    <xf numFmtId="173" fontId="10" fillId="7" borderId="0" xfId="0" applyNumberFormat="1" applyFont="1" applyFill="1"/>
    <xf numFmtId="164" fontId="8" fillId="0" borderId="0" xfId="0" applyNumberFormat="1" applyFont="1"/>
    <xf numFmtId="189" fontId="0" fillId="0" borderId="0" xfId="0" applyNumberFormat="1"/>
    <xf numFmtId="189" fontId="7" fillId="0" borderId="0" xfId="0" applyNumberFormat="1" applyFont="1"/>
    <xf numFmtId="189" fontId="8" fillId="0" borderId="0" xfId="0" applyNumberFormat="1" applyFont="1"/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2" fontId="9" fillId="7" borderId="2" xfId="0" applyNumberFormat="1" applyFont="1" applyFill="1" applyBorder="1"/>
    <xf numFmtId="3" fontId="7" fillId="0" borderId="0" xfId="0" applyNumberFormat="1" applyFont="1"/>
    <xf numFmtId="10" fontId="0" fillId="0" borderId="0" xfId="0" applyNumberFormat="1"/>
    <xf numFmtId="10" fontId="8" fillId="0" borderId="0" xfId="0" applyNumberFormat="1" applyFont="1"/>
    <xf numFmtId="10" fontId="7" fillId="6" borderId="1" xfId="0" applyNumberFormat="1" applyFont="1" applyFill="1" applyBorder="1"/>
    <xf numFmtId="10" fontId="7" fillId="8" borderId="3" xfId="0" applyNumberFormat="1" applyFont="1" applyFill="1" applyBorder="1"/>
    <xf numFmtId="0" fontId="7" fillId="4" borderId="1" xfId="0" applyFon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0" fontId="10" fillId="0" borderId="0" xfId="0" applyNumberFormat="1" applyFont="1"/>
    <xf numFmtId="3" fontId="10" fillId="0" borderId="0" xfId="0" applyNumberFormat="1" applyFont="1"/>
    <xf numFmtId="0" fontId="7" fillId="0" borderId="0" xfId="0" applyFont="1"/>
    <xf numFmtId="0" fontId="0" fillId="0" borderId="0" xfId="0"/>
    <xf numFmtId="0" fontId="10" fillId="0" borderId="0" xfId="0" applyFont="1"/>
  </cellXfs>
  <cellStyles count="2">
    <cellStyle name="Normal" xfId="0" builtinId="0"/>
    <cellStyle name="Normal 2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esentation%202003%2010/Valuation/01%20Viceroy-Scholar%20Model.xls" TargetMode="External"/><Relationship Id="rId1" Type="http://schemas.openxmlformats.org/officeDocument/2006/relationships/externalLinkPath" Target="/Presentation%202003%2010/Valuation/01%20Viceroy-Scholar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26" customWidth="1"/>
    <col min="5" max="5" width="96" customWidth="1"/>
    <col min="6" max="6" width="16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6.05" customHeight="1" x14ac:dyDescent="0.25">
      <c r="A2" s="6" t="s">
        <v>2</v>
      </c>
      <c r="B2" s="6" t="s">
        <v>94</v>
      </c>
      <c r="C2" s="3"/>
      <c r="D2" s="3"/>
      <c r="E2" s="3"/>
      <c r="F2" s="3"/>
    </row>
    <row r="4" spans="1:6" ht="18" customHeight="1" x14ac:dyDescent="0.2">
      <c r="C4" s="7" t="s">
        <v>95</v>
      </c>
      <c r="D4" s="8" t="s">
        <v>96</v>
      </c>
      <c r="E4" s="8" t="s">
        <v>97</v>
      </c>
    </row>
    <row r="5" spans="1:6" ht="37.950000000000003" customHeight="1" x14ac:dyDescent="0.2">
      <c r="C5" s="9">
        <v>1</v>
      </c>
      <c r="D5" s="10" t="s">
        <v>98</v>
      </c>
      <c r="E5" s="11" t="s">
        <v>99</v>
      </c>
    </row>
    <row r="6" spans="1:6" ht="37.950000000000003" customHeight="1" x14ac:dyDescent="0.2">
      <c r="C6" s="9">
        <v>2</v>
      </c>
      <c r="D6" s="10" t="s">
        <v>100</v>
      </c>
      <c r="E6" s="11" t="s">
        <v>101</v>
      </c>
    </row>
    <row r="7" spans="1:6" ht="37.950000000000003" customHeight="1" x14ac:dyDescent="0.2">
      <c r="C7" s="9">
        <v>3</v>
      </c>
      <c r="D7" s="10" t="s">
        <v>102</v>
      </c>
      <c r="E7" s="11" t="s">
        <v>103</v>
      </c>
    </row>
    <row r="8" spans="1:6" ht="37.950000000000003" customHeight="1" x14ac:dyDescent="0.2">
      <c r="C8" s="9">
        <v>4</v>
      </c>
      <c r="D8" s="10" t="s">
        <v>104</v>
      </c>
      <c r="E8" s="11" t="s">
        <v>105</v>
      </c>
    </row>
    <row r="9" spans="1:6" ht="37.950000000000003" customHeight="1" x14ac:dyDescent="0.2">
      <c r="C9" s="9">
        <v>5</v>
      </c>
      <c r="D9" s="10" t="s">
        <v>106</v>
      </c>
      <c r="E9" s="11" t="s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showGridLines="0" tabSelected="1" workbookViewId="0">
      <selection activeCell="P20" sqref="P20"/>
    </sheetView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4" customWidth="1"/>
    <col min="5" max="5" width="12.42578125" customWidth="1"/>
    <col min="6" max="11" width="12" customWidth="1"/>
    <col min="12" max="12" width="12.42578125" customWidth="1"/>
    <col min="13" max="14" width="13.42578125" customWidth="1"/>
  </cols>
  <sheetData>
    <row r="1" spans="1:14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 t="s">
        <v>1</v>
      </c>
    </row>
    <row r="2" spans="1:14" ht="16.05" customHeight="1" x14ac:dyDescent="0.25">
      <c r="A2" s="6" t="s">
        <v>2</v>
      </c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16.05" customHeight="1" x14ac:dyDescent="0.2">
      <c r="A4" s="12" t="s">
        <v>4</v>
      </c>
      <c r="B4" s="12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6" spans="1:14" x14ac:dyDescent="0.2">
      <c r="B6" s="9">
        <v>1</v>
      </c>
      <c r="D6" s="14" t="s">
        <v>6</v>
      </c>
      <c r="E6" s="14"/>
      <c r="F6" s="15" t="s">
        <v>7</v>
      </c>
      <c r="H6" s="14" t="s">
        <v>8</v>
      </c>
      <c r="I6" s="14"/>
      <c r="J6" s="14"/>
      <c r="K6" s="14"/>
      <c r="L6" s="15" t="s">
        <v>7</v>
      </c>
    </row>
    <row r="7" spans="1:14" x14ac:dyDescent="0.2">
      <c r="D7" s="16" t="s">
        <v>9</v>
      </c>
      <c r="F7" s="17">
        <f>'Active Case'!L30</f>
        <v>9433</v>
      </c>
      <c r="H7" s="114" t="s">
        <v>10</v>
      </c>
      <c r="I7" s="115"/>
      <c r="J7" s="115"/>
      <c r="K7" s="115"/>
      <c r="L7" s="17">
        <f>+F13-F19</f>
        <v>170403.096532</v>
      </c>
    </row>
    <row r="8" spans="1:14" x14ac:dyDescent="0.2">
      <c r="D8" s="18" t="s">
        <v>11</v>
      </c>
      <c r="F8" s="19">
        <f>'Active Case'!L26</f>
        <v>11267</v>
      </c>
      <c r="H8" s="114" t="s">
        <v>12</v>
      </c>
      <c r="I8" s="115"/>
      <c r="J8" s="115"/>
      <c r="K8" s="115"/>
      <c r="L8" s="20">
        <f>+L7/F7</f>
        <v>18.064570818615497</v>
      </c>
    </row>
    <row r="9" spans="1:14" x14ac:dyDescent="0.2">
      <c r="D9" s="18" t="s">
        <v>13</v>
      </c>
      <c r="F9" s="21">
        <v>55.42</v>
      </c>
      <c r="H9" s="116" t="s">
        <v>14</v>
      </c>
      <c r="I9" s="115"/>
      <c r="J9" s="115"/>
      <c r="K9" s="115"/>
      <c r="L9" s="22">
        <f>+L7/F8</f>
        <v>15.124087736930859</v>
      </c>
    </row>
    <row r="10" spans="1:14" x14ac:dyDescent="0.2">
      <c r="D10" s="16" t="s">
        <v>15</v>
      </c>
      <c r="F10" s="23">
        <v>0.05</v>
      </c>
      <c r="H10" s="114" t="s">
        <v>16</v>
      </c>
      <c r="I10" s="115"/>
      <c r="J10" s="115"/>
      <c r="K10" s="115"/>
      <c r="L10" s="24">
        <v>2030</v>
      </c>
    </row>
    <row r="11" spans="1:14" x14ac:dyDescent="0.2">
      <c r="D11" s="16" t="s">
        <v>17</v>
      </c>
      <c r="F11" s="25">
        <f>+F9*(1+F10)</f>
        <v>58.191000000000003</v>
      </c>
      <c r="H11" s="114" t="str">
        <f>"Exit Multiple (Pre-IFRS 16 EBITDA @ "&amp;L10&amp;"E)"</f>
        <v>Exit Multiple (Pre-IFRS 16 EBITDA @ 2030E)</v>
      </c>
      <c r="I11" s="115"/>
      <c r="J11" s="115"/>
      <c r="K11" s="115"/>
      <c r="L11" s="26">
        <f>+L8</f>
        <v>18.064570818615497</v>
      </c>
    </row>
    <row r="12" spans="1:14" x14ac:dyDescent="0.2">
      <c r="D12" s="18" t="s">
        <v>18</v>
      </c>
      <c r="F12" s="27">
        <v>3116.652</v>
      </c>
      <c r="H12" s="116" t="s">
        <v>19</v>
      </c>
      <c r="I12" s="115"/>
      <c r="J12" s="115"/>
      <c r="K12" s="115"/>
      <c r="L12" s="28">
        <v>0.01</v>
      </c>
    </row>
    <row r="13" spans="1:14" x14ac:dyDescent="0.2">
      <c r="D13" s="16" t="s">
        <v>20</v>
      </c>
      <c r="F13" s="17">
        <f>+F11*F12</f>
        <v>181361.096532</v>
      </c>
      <c r="H13" s="114" t="s">
        <v>21</v>
      </c>
      <c r="I13" s="115"/>
      <c r="J13" s="115"/>
      <c r="K13" s="115"/>
      <c r="L13" s="29">
        <v>7.4999999999999997E-3</v>
      </c>
    </row>
    <row r="14" spans="1:14" x14ac:dyDescent="0.2">
      <c r="D14" s="16" t="s">
        <v>22</v>
      </c>
      <c r="F14" s="29">
        <v>0.59294000000000002</v>
      </c>
      <c r="H14" s="116" t="s">
        <v>23</v>
      </c>
      <c r="I14" s="115"/>
      <c r="J14" s="115"/>
      <c r="K14" s="115"/>
      <c r="L14" s="30">
        <v>7</v>
      </c>
    </row>
    <row r="15" spans="1:14" x14ac:dyDescent="0.2">
      <c r="D15" s="16" t="s">
        <v>24</v>
      </c>
      <c r="F15" s="31">
        <f>1-F14</f>
        <v>0.40705999999999998</v>
      </c>
      <c r="H15" s="114" t="s">
        <v>25</v>
      </c>
      <c r="I15" s="115"/>
      <c r="J15" s="115"/>
      <c r="K15" s="115"/>
      <c r="L15" s="32" t="str">
        <f>'Active Case'!H8</f>
        <v>Base</v>
      </c>
    </row>
    <row r="16" spans="1:14" x14ac:dyDescent="0.2">
      <c r="D16" s="16" t="s">
        <v>26</v>
      </c>
      <c r="F16" s="17">
        <f>+F13*F14</f>
        <v>107536.24857768408</v>
      </c>
      <c r="H16" s="114" t="s">
        <v>27</v>
      </c>
      <c r="I16" s="115"/>
      <c r="J16" s="115"/>
      <c r="K16" s="115"/>
      <c r="L16" s="33">
        <f>+F30/F13</f>
        <v>0.28606741463346769</v>
      </c>
    </row>
    <row r="17" spans="1:14" x14ac:dyDescent="0.2">
      <c r="D17" s="16" t="s">
        <v>28</v>
      </c>
      <c r="F17" s="17">
        <f>+F13*F15</f>
        <v>73824.847954315919</v>
      </c>
    </row>
    <row r="18" spans="1:14" x14ac:dyDescent="0.2">
      <c r="D18" s="16" t="s">
        <v>29</v>
      </c>
      <c r="F18" s="34">
        <v>1500</v>
      </c>
      <c r="H18" s="114" t="s">
        <v>30</v>
      </c>
      <c r="I18" s="115"/>
      <c r="J18" s="115"/>
      <c r="K18" s="115"/>
      <c r="L18" s="35">
        <f>+M69</f>
        <v>0.12419088183718441</v>
      </c>
    </row>
    <row r="19" spans="1:14" x14ac:dyDescent="0.2">
      <c r="D19" s="18" t="s">
        <v>31</v>
      </c>
      <c r="F19" s="27">
        <v>10958</v>
      </c>
      <c r="H19" s="114" t="s">
        <v>32</v>
      </c>
      <c r="I19" s="115"/>
      <c r="J19" s="115"/>
      <c r="K19" s="115"/>
      <c r="L19" s="36">
        <f>+N69</f>
        <v>1.795561531177118</v>
      </c>
    </row>
    <row r="20" spans="1:14" x14ac:dyDescent="0.2">
      <c r="D20" s="16" t="s">
        <v>33</v>
      </c>
      <c r="F20" s="17">
        <f>+MAX(0,F19-F18)</f>
        <v>9458</v>
      </c>
      <c r="H20" s="114" t="s">
        <v>34</v>
      </c>
      <c r="I20" s="115"/>
      <c r="J20" s="115"/>
      <c r="K20" s="115"/>
      <c r="L20" s="17">
        <f>+INDEX(F56:L56,1,MATCH($L$10,F48:L48,0))-E44</f>
        <v>11185.914493685876</v>
      </c>
    </row>
    <row r="22" spans="1:14" ht="16.05" customHeight="1" x14ac:dyDescent="0.2">
      <c r="A22" s="12" t="s">
        <v>4</v>
      </c>
      <c r="B22" s="12" t="s">
        <v>4</v>
      </c>
      <c r="C22" s="13" t="s">
        <v>35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4" spans="1:14" x14ac:dyDescent="0.2">
      <c r="B24" s="9">
        <v>2</v>
      </c>
      <c r="D24" s="14" t="s">
        <v>36</v>
      </c>
      <c r="E24" s="15" t="s">
        <v>37</v>
      </c>
      <c r="F24" s="15" t="s">
        <v>38</v>
      </c>
      <c r="G24" s="15" t="s">
        <v>39</v>
      </c>
      <c r="H24" s="15" t="s">
        <v>40</v>
      </c>
      <c r="I24" s="15" t="s">
        <v>41</v>
      </c>
    </row>
    <row r="25" spans="1:14" x14ac:dyDescent="0.2">
      <c r="D25" s="18" t="s">
        <v>42</v>
      </c>
      <c r="E25" s="37">
        <f>+F25</f>
        <v>14149.5</v>
      </c>
      <c r="F25" s="38">
        <f>'Debt &amp; Covenants'!F8*$F$7</f>
        <v>14149.5</v>
      </c>
      <c r="G25" s="39">
        <f>'Debt &amp; Covenants'!F8</f>
        <v>1.5</v>
      </c>
      <c r="H25" s="40">
        <v>1.2500000000000001E-2</v>
      </c>
      <c r="I25" s="37">
        <f>+E25*H25</f>
        <v>176.86875000000001</v>
      </c>
    </row>
    <row r="26" spans="1:14" x14ac:dyDescent="0.2">
      <c r="D26" s="18" t="s">
        <v>43</v>
      </c>
      <c r="E26" s="37">
        <f>+F26</f>
        <v>23582.5</v>
      </c>
      <c r="F26" s="38">
        <f>'Debt &amp; Covenants'!F9*$F$7</f>
        <v>23582.5</v>
      </c>
      <c r="G26" s="39">
        <f>'Debt &amp; Covenants'!F9</f>
        <v>2.5</v>
      </c>
      <c r="H26" s="40">
        <v>1.7500000000000002E-2</v>
      </c>
      <c r="I26" s="37">
        <f>+E26*H26</f>
        <v>412.69375000000002</v>
      </c>
    </row>
    <row r="27" spans="1:14" x14ac:dyDescent="0.2">
      <c r="D27" s="18" t="s">
        <v>44</v>
      </c>
      <c r="E27" s="37">
        <f>+F27</f>
        <v>9433</v>
      </c>
      <c r="F27" s="38">
        <f>'Debt &amp; Covenants'!F10*$F$7</f>
        <v>9433</v>
      </c>
      <c r="G27" s="39">
        <f>'Debt &amp; Covenants'!F10</f>
        <v>1</v>
      </c>
      <c r="H27" s="40">
        <v>2.2499999999999999E-2</v>
      </c>
      <c r="I27" s="37">
        <f>+E27*H27</f>
        <v>212.24249999999998</v>
      </c>
    </row>
    <row r="28" spans="1:14" x14ac:dyDescent="0.2">
      <c r="D28" s="18" t="s">
        <v>45</v>
      </c>
      <c r="E28" s="37">
        <f>+F28</f>
        <v>4716.5</v>
      </c>
      <c r="F28" s="38">
        <f>'Debt &amp; Covenants'!F11*$F$7</f>
        <v>4716.5</v>
      </c>
      <c r="G28" s="39">
        <f>'Debt &amp; Covenants'!F11</f>
        <v>0.5</v>
      </c>
      <c r="H28" s="40">
        <v>0</v>
      </c>
      <c r="I28" s="37">
        <f>+E28*H28</f>
        <v>0</v>
      </c>
    </row>
    <row r="29" spans="1:14" x14ac:dyDescent="0.2">
      <c r="D29" s="18" t="s">
        <v>46</v>
      </c>
      <c r="E29" s="37">
        <f>'Debt &amp; Covenants'!E14</f>
        <v>3500</v>
      </c>
      <c r="F29" s="41">
        <v>0</v>
      </c>
      <c r="G29" s="39">
        <f>+E29/$F$7</f>
        <v>0.37103784586027777</v>
      </c>
      <c r="H29" s="40">
        <v>0.01</v>
      </c>
      <c r="I29" s="37">
        <f>+E29*H29</f>
        <v>35</v>
      </c>
    </row>
    <row r="30" spans="1:14" x14ac:dyDescent="0.2">
      <c r="D30" s="42" t="s">
        <v>47</v>
      </c>
      <c r="E30" s="43">
        <f>+SUM(E25:E29)</f>
        <v>55381.5</v>
      </c>
      <c r="F30" s="43">
        <f>+SUM(F25:F29)</f>
        <v>51881.5</v>
      </c>
      <c r="G30" s="44">
        <f>+SUM(G25:G28)</f>
        <v>5.5</v>
      </c>
      <c r="H30" s="45">
        <f>+I30/E30</f>
        <v>1.5109829094553235E-2</v>
      </c>
      <c r="I30" s="43">
        <f>+SUM(I25:I29)</f>
        <v>836.80499999999995</v>
      </c>
    </row>
    <row r="32" spans="1:14" x14ac:dyDescent="0.2">
      <c r="D32" s="14" t="s">
        <v>48</v>
      </c>
      <c r="E32" s="15" t="s">
        <v>49</v>
      </c>
      <c r="F32" s="15" t="s">
        <v>50</v>
      </c>
      <c r="G32" s="15" t="s">
        <v>51</v>
      </c>
      <c r="H32" s="14" t="s">
        <v>52</v>
      </c>
      <c r="I32" s="14"/>
      <c r="J32" s="15" t="s">
        <v>49</v>
      </c>
      <c r="K32" s="15" t="s">
        <v>50</v>
      </c>
      <c r="L32" s="15" t="s">
        <v>51</v>
      </c>
    </row>
    <row r="33" spans="1:14" x14ac:dyDescent="0.2">
      <c r="D33" s="18" t="s">
        <v>53</v>
      </c>
      <c r="E33" s="37">
        <f>+F25</f>
        <v>14149.5</v>
      </c>
      <c r="F33" s="46">
        <f t="shared" ref="F33:F39" si="0">+E33/$E$40</f>
        <v>7.7346658925024805E-2</v>
      </c>
      <c r="G33" s="39">
        <f t="shared" ref="G33:G39" si="1">+E33/$F$7</f>
        <v>1.5</v>
      </c>
      <c r="H33" s="114" t="s">
        <v>54</v>
      </c>
      <c r="I33" s="115"/>
      <c r="J33" s="38">
        <f>+F17</f>
        <v>73824.847954315919</v>
      </c>
      <c r="K33" s="47">
        <f>+J33/$J$40</f>
        <v>0.40355527297178617</v>
      </c>
      <c r="L33" s="48">
        <f>+J33/$F$7</f>
        <v>7.8262321588376889</v>
      </c>
    </row>
    <row r="34" spans="1:14" x14ac:dyDescent="0.2">
      <c r="D34" s="18" t="s">
        <v>55</v>
      </c>
      <c r="E34" s="37">
        <f>+F26</f>
        <v>23582.5</v>
      </c>
      <c r="F34" s="46">
        <f t="shared" si="0"/>
        <v>0.12891109820837465</v>
      </c>
      <c r="G34" s="39">
        <f t="shared" si="1"/>
        <v>2.5</v>
      </c>
      <c r="H34" s="114" t="s">
        <v>56</v>
      </c>
      <c r="I34" s="115"/>
      <c r="J34" s="38">
        <f>+F16</f>
        <v>107536.24857768408</v>
      </c>
      <c r="K34" s="47">
        <f>+J34/$J$40</f>
        <v>0.58783487337466434</v>
      </c>
      <c r="L34" s="48">
        <f>+J34/$F$7</f>
        <v>11.400005149759787</v>
      </c>
    </row>
    <row r="35" spans="1:14" x14ac:dyDescent="0.2">
      <c r="D35" s="18" t="s">
        <v>57</v>
      </c>
      <c r="E35" s="37">
        <f>+F27</f>
        <v>9433</v>
      </c>
      <c r="F35" s="46">
        <f t="shared" si="0"/>
        <v>5.1564439283349868E-2</v>
      </c>
      <c r="G35" s="39">
        <f t="shared" si="1"/>
        <v>1</v>
      </c>
      <c r="H35" s="116" t="s">
        <v>58</v>
      </c>
      <c r="I35" s="115"/>
      <c r="J35" s="37">
        <f>+I30</f>
        <v>836.80499999999995</v>
      </c>
      <c r="K35" s="46">
        <f>+J35/$J$40</f>
        <v>4.5743009238316109E-3</v>
      </c>
      <c r="L35" s="39">
        <f>+J35/$F$7</f>
        <v>8.8710378458602773E-2</v>
      </c>
    </row>
    <row r="36" spans="1:14" x14ac:dyDescent="0.2">
      <c r="D36" s="18" t="s">
        <v>59</v>
      </c>
      <c r="E36" s="37">
        <f>+F28</f>
        <v>4716.5</v>
      </c>
      <c r="F36" s="46">
        <f t="shared" si="0"/>
        <v>2.5782219641674934E-2</v>
      </c>
      <c r="G36" s="39">
        <f t="shared" si="1"/>
        <v>0.5</v>
      </c>
      <c r="H36" s="116" t="s">
        <v>60</v>
      </c>
      <c r="I36" s="115"/>
      <c r="J36" s="37">
        <f>+F17*L12</f>
        <v>738.24847954315919</v>
      </c>
      <c r="K36" s="46">
        <f>+J36/$J$40</f>
        <v>4.0355527297178612E-3</v>
      </c>
      <c r="L36" s="39">
        <f>+J36/$F$7</f>
        <v>7.8262321588376885E-2</v>
      </c>
    </row>
    <row r="37" spans="1:14" x14ac:dyDescent="0.2">
      <c r="D37" s="18" t="s">
        <v>61</v>
      </c>
      <c r="E37" s="37">
        <f>+F20</f>
        <v>9458</v>
      </c>
      <c r="F37" s="46">
        <f t="shared" si="0"/>
        <v>5.1701098986740489E-2</v>
      </c>
      <c r="G37" s="39">
        <f t="shared" si="1"/>
        <v>1.0026502703275735</v>
      </c>
      <c r="H37" s="116" t="s">
        <v>62</v>
      </c>
      <c r="I37" s="115"/>
      <c r="J37" s="41">
        <v>0</v>
      </c>
      <c r="K37" s="46">
        <f>+J37/$J$40</f>
        <v>0</v>
      </c>
      <c r="L37" s="39">
        <f>+J37/$F$7</f>
        <v>0</v>
      </c>
    </row>
    <row r="38" spans="1:14" x14ac:dyDescent="0.2">
      <c r="D38" s="16" t="s">
        <v>63</v>
      </c>
      <c r="E38" s="38">
        <f>+F16</f>
        <v>107536.24857768408</v>
      </c>
      <c r="F38" s="47">
        <f t="shared" si="0"/>
        <v>0.58783487337466434</v>
      </c>
      <c r="G38" s="48">
        <f t="shared" si="1"/>
        <v>11.400005149759787</v>
      </c>
    </row>
    <row r="39" spans="1:14" x14ac:dyDescent="0.2">
      <c r="D39" s="16" t="s">
        <v>64</v>
      </c>
      <c r="E39" s="38">
        <f>+E40-SUM(E33:E38)</f>
        <v>14060.401433859079</v>
      </c>
      <c r="F39" s="47">
        <f t="shared" si="0"/>
        <v>7.6859611580170878E-2</v>
      </c>
      <c r="G39" s="48">
        <f t="shared" si="1"/>
        <v>1.4905545885570952</v>
      </c>
    </row>
    <row r="40" spans="1:14" x14ac:dyDescent="0.2">
      <c r="D40" s="42" t="s">
        <v>65</v>
      </c>
      <c r="E40" s="43">
        <f>+J40</f>
        <v>182936.15001154316</v>
      </c>
      <c r="F40" s="49">
        <f>+SUM(F33:F39)</f>
        <v>0.99999999999999989</v>
      </c>
      <c r="G40" s="44">
        <f>+SUM(G33:G39)</f>
        <v>19.393210008644456</v>
      </c>
      <c r="H40" s="42" t="s">
        <v>66</v>
      </c>
      <c r="I40" s="42"/>
      <c r="J40" s="43">
        <f>+SUM(J33:J37)</f>
        <v>182936.15001154316</v>
      </c>
      <c r="K40" s="49">
        <f>+SUM(K33:K37)</f>
        <v>1</v>
      </c>
      <c r="L40" s="44">
        <f>+SUM(L33:L37)</f>
        <v>19.393210008644456</v>
      </c>
    </row>
    <row r="42" spans="1:14" x14ac:dyDescent="0.2">
      <c r="D42" s="14" t="s">
        <v>67</v>
      </c>
      <c r="E42" s="15" t="s">
        <v>68</v>
      </c>
      <c r="F42" s="15" t="s">
        <v>69</v>
      </c>
      <c r="G42" s="15" t="s">
        <v>51</v>
      </c>
    </row>
    <row r="43" spans="1:14" x14ac:dyDescent="0.2">
      <c r="D43" s="18" t="s">
        <v>70</v>
      </c>
      <c r="E43" s="1">
        <f>+E38</f>
        <v>107536.24857768408</v>
      </c>
      <c r="F43" s="50">
        <f>+E43/$E$45</f>
        <v>0.88436851317429943</v>
      </c>
      <c r="G43" s="51">
        <f>+E43/$F$7</f>
        <v>11.400005149759787</v>
      </c>
    </row>
    <row r="44" spans="1:14" x14ac:dyDescent="0.2">
      <c r="D44" s="16" t="s">
        <v>71</v>
      </c>
      <c r="E44" s="38">
        <f>+E39</f>
        <v>14060.401433859079</v>
      </c>
      <c r="F44" s="50">
        <f>+E44/$E$45</f>
        <v>0.1156314868257006</v>
      </c>
      <c r="G44" s="48">
        <f>+E44/$F$7</f>
        <v>1.4905545885570952</v>
      </c>
    </row>
    <row r="45" spans="1:14" x14ac:dyDescent="0.2">
      <c r="D45" s="42" t="s">
        <v>72</v>
      </c>
      <c r="E45" s="43">
        <f>+E43+E44</f>
        <v>121596.65001154316</v>
      </c>
      <c r="F45" s="45">
        <f>+F43+F44</f>
        <v>1</v>
      </c>
      <c r="G45" s="44">
        <f>+G43+G44</f>
        <v>12.890559738316883</v>
      </c>
    </row>
    <row r="47" spans="1:14" ht="16.05" customHeight="1" x14ac:dyDescent="0.2">
      <c r="A47" s="12" t="s">
        <v>4</v>
      </c>
      <c r="B47" s="12" t="s">
        <v>4</v>
      </c>
      <c r="C47" s="13" t="s">
        <v>73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2">
      <c r="D48" s="14" t="s">
        <v>74</v>
      </c>
      <c r="E48" s="52">
        <v>2025</v>
      </c>
      <c r="F48" s="53">
        <f t="shared" ref="F48:L48" si="2">+E48+1</f>
        <v>2026</v>
      </c>
      <c r="G48" s="53">
        <f t="shared" si="2"/>
        <v>2027</v>
      </c>
      <c r="H48" s="53">
        <f t="shared" si="2"/>
        <v>2028</v>
      </c>
      <c r="I48" s="53">
        <f t="shared" si="2"/>
        <v>2029</v>
      </c>
      <c r="J48" s="53">
        <f t="shared" si="2"/>
        <v>2030</v>
      </c>
      <c r="K48" s="53">
        <f t="shared" si="2"/>
        <v>2031</v>
      </c>
      <c r="L48" s="53">
        <f t="shared" si="2"/>
        <v>2032</v>
      </c>
    </row>
    <row r="49" spans="2:14" x14ac:dyDescent="0.2">
      <c r="B49" s="9">
        <v>3</v>
      </c>
      <c r="D49" s="18" t="s">
        <v>75</v>
      </c>
      <c r="E49" s="1">
        <f>'Active Case'!L30</f>
        <v>9433</v>
      </c>
      <c r="F49" s="1">
        <f>'Active Case'!M30</f>
        <v>10143.127139999995</v>
      </c>
      <c r="G49" s="1">
        <f>'Active Case'!N30</f>
        <v>10922.261526449996</v>
      </c>
      <c r="H49" s="1">
        <f>'Active Case'!O30</f>
        <v>11752.178795389118</v>
      </c>
      <c r="I49" s="1">
        <f>'Active Case'!P30</f>
        <v>12635.979588021728</v>
      </c>
      <c r="J49" s="1">
        <f>'Active Case'!Q30</f>
        <v>13576.947563817597</v>
      </c>
      <c r="K49" s="1">
        <f>'Active Case'!R30</f>
        <v>14578.559985258678</v>
      </c>
      <c r="L49" s="1">
        <f>'Active Case'!S30</f>
        <v>15644.498906557797</v>
      </c>
    </row>
    <row r="50" spans="2:14" x14ac:dyDescent="0.2">
      <c r="D50" s="18" t="s">
        <v>76</v>
      </c>
      <c r="E50" s="51">
        <f t="shared" ref="E50:L50" si="3">+$L$11</f>
        <v>18.064570818615497</v>
      </c>
      <c r="F50" s="51">
        <f t="shared" si="3"/>
        <v>18.064570818615497</v>
      </c>
      <c r="G50" s="51">
        <f t="shared" si="3"/>
        <v>18.064570818615497</v>
      </c>
      <c r="H50" s="51">
        <f t="shared" si="3"/>
        <v>18.064570818615497</v>
      </c>
      <c r="I50" s="51">
        <f t="shared" si="3"/>
        <v>18.064570818615497</v>
      </c>
      <c r="J50" s="51">
        <f t="shared" si="3"/>
        <v>18.064570818615497</v>
      </c>
      <c r="K50" s="51">
        <f t="shared" si="3"/>
        <v>18.064570818615497</v>
      </c>
      <c r="L50" s="51">
        <f t="shared" si="3"/>
        <v>18.064570818615497</v>
      </c>
    </row>
    <row r="51" spans="2:14" x14ac:dyDescent="0.2">
      <c r="D51" s="54" t="s">
        <v>77</v>
      </c>
      <c r="E51" s="55">
        <f t="shared" ref="E51:L51" si="4">+E49*E50</f>
        <v>170403.096532</v>
      </c>
      <c r="F51" s="55">
        <f t="shared" si="4"/>
        <v>183231.23854275077</v>
      </c>
      <c r="G51" s="55">
        <f t="shared" si="4"/>
        <v>197305.96684399535</v>
      </c>
      <c r="H51" s="55">
        <f t="shared" si="4"/>
        <v>212298.06612233809</v>
      </c>
      <c r="I51" s="55">
        <f t="shared" si="4"/>
        <v>228263.54813039838</v>
      </c>
      <c r="J51" s="55">
        <f t="shared" si="4"/>
        <v>245261.73076721214</v>
      </c>
      <c r="K51" s="55">
        <f t="shared" si="4"/>
        <v>263355.4292871395</v>
      </c>
      <c r="L51" s="55">
        <f t="shared" si="4"/>
        <v>282611.15841926605</v>
      </c>
    </row>
    <row r="52" spans="2:14" x14ac:dyDescent="0.2">
      <c r="D52" s="18" t="s">
        <v>78</v>
      </c>
      <c r="E52" s="1">
        <f t="shared" ref="E52:L52" si="5">-E51*$L$13</f>
        <v>-1278.0232239899999</v>
      </c>
      <c r="F52" s="1">
        <f t="shared" si="5"/>
        <v>-1374.2342890706307</v>
      </c>
      <c r="G52" s="1">
        <f t="shared" si="5"/>
        <v>-1479.794751329965</v>
      </c>
      <c r="H52" s="1">
        <f t="shared" si="5"/>
        <v>-1592.2354959175357</v>
      </c>
      <c r="I52" s="1">
        <f t="shared" si="5"/>
        <v>-1711.9766109779878</v>
      </c>
      <c r="J52" s="1">
        <f t="shared" si="5"/>
        <v>-1839.4629807540909</v>
      </c>
      <c r="K52" s="1">
        <f t="shared" si="5"/>
        <v>-1975.1657196535461</v>
      </c>
      <c r="L52" s="1">
        <f t="shared" si="5"/>
        <v>-2119.5836881444952</v>
      </c>
    </row>
    <row r="53" spans="2:14" x14ac:dyDescent="0.2">
      <c r="D53" s="18" t="s">
        <v>79</v>
      </c>
      <c r="E53" s="1">
        <f>-'Debt &amp; Covenants'!E68</f>
        <v>-51881.5</v>
      </c>
      <c r="F53" s="1">
        <f>-'Debt &amp; Covenants'!F68</f>
        <v>-50466.55</v>
      </c>
      <c r="G53" s="1">
        <f>-'Debt &amp; Covenants'!G68</f>
        <v>-48344.125</v>
      </c>
      <c r="H53" s="1">
        <f>-'Debt &amp; Covenants'!H68</f>
        <v>-45514.224999999999</v>
      </c>
      <c r="I53" s="1">
        <f>-'Debt &amp; Covenants'!I68</f>
        <v>-41976.85</v>
      </c>
      <c r="J53" s="1">
        <f>-'Debt &amp; Covenants'!J68</f>
        <v>-37732</v>
      </c>
      <c r="K53" s="1">
        <f>-'Debt &amp; Covenants'!K68</f>
        <v>-37732</v>
      </c>
      <c r="L53" s="1">
        <f>-'Debt &amp; Covenants'!L68</f>
        <v>-37732</v>
      </c>
    </row>
    <row r="54" spans="2:14" x14ac:dyDescent="0.2">
      <c r="D54" s="18" t="s">
        <v>80</v>
      </c>
      <c r="E54" s="1">
        <f>+'Debt &amp; Covenants'!E93</f>
        <v>1500</v>
      </c>
      <c r="F54" s="1">
        <f>+'Debt &amp; Covenants'!F93</f>
        <v>3787.6939824999981</v>
      </c>
      <c r="G54" s="1">
        <f>+'Debt &amp; Covenants'!G93</f>
        <v>6031.9530516117811</v>
      </c>
      <c r="H54" s="1">
        <f>+'Debt &amp; Covenants'!H93</f>
        <v>8196.419125800312</v>
      </c>
      <c r="I54" s="1">
        <f>+'Debt &amp; Covenants'!I93</f>
        <v>10378.349759814228</v>
      </c>
      <c r="J54" s="1">
        <f>+'Debt &amp; Covenants'!J93</f>
        <v>12643.99929427652</v>
      </c>
      <c r="K54" s="1">
        <f>+'Debt &amp; Covenants'!K93</f>
        <v>19921.525598162931</v>
      </c>
      <c r="L54" s="1">
        <f>+'Debt &amp; Covenants'!L93</f>
        <v>27931.225067238367</v>
      </c>
    </row>
    <row r="55" spans="2:14" x14ac:dyDescent="0.2">
      <c r="D55" s="42" t="s">
        <v>81</v>
      </c>
      <c r="E55" s="43">
        <f t="shared" ref="E55:L55" si="6">+SUM(E51:E54)</f>
        <v>118743.57330801</v>
      </c>
      <c r="F55" s="43">
        <f t="shared" si="6"/>
        <v>135178.14823618013</v>
      </c>
      <c r="G55" s="43">
        <f t="shared" si="6"/>
        <v>153514.00014427718</v>
      </c>
      <c r="H55" s="43">
        <f t="shared" si="6"/>
        <v>173388.02475222087</v>
      </c>
      <c r="I55" s="43">
        <f t="shared" si="6"/>
        <v>194953.0712792346</v>
      </c>
      <c r="J55" s="43">
        <f t="shared" si="6"/>
        <v>218334.26708073457</v>
      </c>
      <c r="K55" s="43">
        <f t="shared" si="6"/>
        <v>243569.78916564889</v>
      </c>
      <c r="L55" s="43">
        <f t="shared" si="6"/>
        <v>270690.79979835992</v>
      </c>
    </row>
    <row r="56" spans="2:14" x14ac:dyDescent="0.2">
      <c r="D56" s="16" t="s">
        <v>82</v>
      </c>
      <c r="E56" s="38">
        <f t="shared" ref="E56:L56" si="7">+E55*$F$44</f>
        <v>13730.495932601772</v>
      </c>
      <c r="F56" s="38">
        <f t="shared" si="7"/>
        <v>15630.850266894466</v>
      </c>
      <c r="G56" s="38">
        <f t="shared" si="7"/>
        <v>17751.052085243587</v>
      </c>
      <c r="H56" s="38">
        <f t="shared" si="7"/>
        <v>20049.115099870676</v>
      </c>
      <c r="I56" s="38">
        <f t="shared" si="7"/>
        <v>22542.713493254687</v>
      </c>
      <c r="J56" s="38">
        <f t="shared" si="7"/>
        <v>25246.315927544954</v>
      </c>
      <c r="K56" s="38">
        <f t="shared" si="7"/>
        <v>28164.336867046401</v>
      </c>
      <c r="L56" s="38">
        <f t="shared" si="7"/>
        <v>31300.379650722414</v>
      </c>
    </row>
    <row r="57" spans="2:14" x14ac:dyDescent="0.2">
      <c r="D57" s="18" t="s">
        <v>83</v>
      </c>
      <c r="E57" s="1">
        <f t="shared" ref="E57:L57" si="8">+E55*$F$43</f>
        <v>105013.07737540823</v>
      </c>
      <c r="F57" s="1">
        <f t="shared" si="8"/>
        <v>119547.29796928568</v>
      </c>
      <c r="G57" s="1">
        <f t="shared" si="8"/>
        <v>135762.9480590336</v>
      </c>
      <c r="H57" s="1">
        <f t="shared" si="8"/>
        <v>153338.90965235021</v>
      </c>
      <c r="I57" s="1">
        <f t="shared" si="8"/>
        <v>172410.35778597993</v>
      </c>
      <c r="J57" s="1">
        <f t="shared" si="8"/>
        <v>193087.95115318961</v>
      </c>
      <c r="K57" s="1">
        <f t="shared" si="8"/>
        <v>215405.4522986025</v>
      </c>
      <c r="L57" s="1">
        <f t="shared" si="8"/>
        <v>239390.42014763752</v>
      </c>
    </row>
    <row r="58" spans="2:14" x14ac:dyDescent="0.2">
      <c r="D58" s="16" t="s">
        <v>84</v>
      </c>
      <c r="F58" s="47">
        <f>+M62</f>
        <v>0.11169302956411786</v>
      </c>
      <c r="G58" s="47">
        <f>+M63</f>
        <v>0.1236037734026445</v>
      </c>
      <c r="H58" s="47">
        <f>+M64</f>
        <v>0.1255526883479483</v>
      </c>
      <c r="I58" s="47">
        <f>+M65</f>
        <v>0.12525802216791337</v>
      </c>
      <c r="J58" s="47">
        <f>+M66</f>
        <v>0.12419088183718441</v>
      </c>
      <c r="K58" s="47">
        <f>+M67</f>
        <v>0.12275147681425813</v>
      </c>
      <c r="L58" s="47">
        <f>+M68</f>
        <v>0.12111527368027142</v>
      </c>
    </row>
    <row r="59" spans="2:14" x14ac:dyDescent="0.2">
      <c r="D59" s="16" t="s">
        <v>85</v>
      </c>
      <c r="F59" s="48">
        <f>+N62</f>
        <v>1.1116930295641179</v>
      </c>
      <c r="G59" s="48">
        <f>+N63</f>
        <v>1.2624854396046612</v>
      </c>
      <c r="H59" s="48">
        <f>+N64</f>
        <v>1.4259276446823261</v>
      </c>
      <c r="I59" s="48">
        <f>+N65</f>
        <v>1.6032766631377406</v>
      </c>
      <c r="J59" s="48">
        <f>+N66</f>
        <v>1.795561531177118</v>
      </c>
      <c r="K59" s="48">
        <f>+N67</f>
        <v>2.0030962131154668</v>
      </c>
      <c r="L59" s="48">
        <f>+N68</f>
        <v>2.2261369846345542</v>
      </c>
    </row>
    <row r="61" spans="2:14" x14ac:dyDescent="0.2">
      <c r="D61" s="14" t="s">
        <v>86</v>
      </c>
      <c r="E61" s="52">
        <f t="shared" ref="E61:L61" si="9">+E48</f>
        <v>2025</v>
      </c>
      <c r="F61" s="53">
        <f t="shared" si="9"/>
        <v>2026</v>
      </c>
      <c r="G61" s="53">
        <f t="shared" si="9"/>
        <v>2027</v>
      </c>
      <c r="H61" s="53">
        <f t="shared" si="9"/>
        <v>2028</v>
      </c>
      <c r="I61" s="53">
        <f t="shared" si="9"/>
        <v>2029</v>
      </c>
      <c r="J61" s="53">
        <f t="shared" si="9"/>
        <v>2030</v>
      </c>
      <c r="K61" s="53">
        <f t="shared" si="9"/>
        <v>2031</v>
      </c>
      <c r="L61" s="53">
        <f t="shared" si="9"/>
        <v>2032</v>
      </c>
      <c r="M61" s="15" t="s">
        <v>87</v>
      </c>
      <c r="N61" s="15" t="s">
        <v>88</v>
      </c>
    </row>
    <row r="62" spans="2:14" x14ac:dyDescent="0.2">
      <c r="D62" s="56">
        <f>+F61</f>
        <v>2026</v>
      </c>
      <c r="E62" s="37">
        <f t="shared" ref="E62:E68" si="10">-$E$44</f>
        <v>-14060.401433859079</v>
      </c>
      <c r="F62" s="37">
        <f>+F$56</f>
        <v>15630.850266894466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47">
        <f>+IFERROR((N62)^(1/(F$61-$E$61))-1,0)</f>
        <v>0.11169302956411786</v>
      </c>
      <c r="N62" s="48">
        <f>+IFERROR(-SUM(F62:F62)/E62,0)</f>
        <v>1.1116930295641179</v>
      </c>
    </row>
    <row r="63" spans="2:14" x14ac:dyDescent="0.2">
      <c r="D63" s="56">
        <f>+G61</f>
        <v>2027</v>
      </c>
      <c r="E63" s="37">
        <f t="shared" si="10"/>
        <v>-14060.401433859079</v>
      </c>
      <c r="F63" s="37">
        <v>0</v>
      </c>
      <c r="G63" s="37">
        <f>+G$56</f>
        <v>17751.052085243587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47">
        <f>+IFERROR((N63)^(1/(G$61-$E$61))-1,0)</f>
        <v>0.1236037734026445</v>
      </c>
      <c r="N63" s="48">
        <f>+IFERROR(-SUM(F63:G63)/E63,0)</f>
        <v>1.2624854396046612</v>
      </c>
    </row>
    <row r="64" spans="2:14" x14ac:dyDescent="0.2">
      <c r="D64" s="56">
        <f>+H61</f>
        <v>2028</v>
      </c>
      <c r="E64" s="37">
        <f t="shared" si="10"/>
        <v>-14060.401433859079</v>
      </c>
      <c r="F64" s="37">
        <v>0</v>
      </c>
      <c r="G64" s="37">
        <v>0</v>
      </c>
      <c r="H64" s="37">
        <f>+H$56</f>
        <v>20049.115099870676</v>
      </c>
      <c r="I64" s="37">
        <v>0</v>
      </c>
      <c r="J64" s="37">
        <v>0</v>
      </c>
      <c r="K64" s="37">
        <v>0</v>
      </c>
      <c r="L64" s="37">
        <v>0</v>
      </c>
      <c r="M64" s="47">
        <f>+IFERROR((N64)^(1/(H$61-$E$61))-1,0)</f>
        <v>0.1255526883479483</v>
      </c>
      <c r="N64" s="48">
        <f>+IFERROR(-SUM(F64:H64)/E64,0)</f>
        <v>1.4259276446823261</v>
      </c>
    </row>
    <row r="65" spans="1:14" x14ac:dyDescent="0.2">
      <c r="D65" s="56">
        <f>+I61</f>
        <v>2029</v>
      </c>
      <c r="E65" s="37">
        <f t="shared" si="10"/>
        <v>-14060.401433859079</v>
      </c>
      <c r="F65" s="37">
        <v>0</v>
      </c>
      <c r="G65" s="37">
        <v>0</v>
      </c>
      <c r="H65" s="37">
        <v>0</v>
      </c>
      <c r="I65" s="37">
        <f>+I$56</f>
        <v>22542.713493254687</v>
      </c>
      <c r="J65" s="37">
        <v>0</v>
      </c>
      <c r="K65" s="37">
        <v>0</v>
      </c>
      <c r="L65" s="37">
        <v>0</v>
      </c>
      <c r="M65" s="47">
        <f>+IFERROR((N65)^(1/(I$61-$E$61))-1,0)</f>
        <v>0.12525802216791337</v>
      </c>
      <c r="N65" s="48">
        <f>+IFERROR(-SUM(F65:I65)/E65,0)</f>
        <v>1.6032766631377406</v>
      </c>
    </row>
    <row r="66" spans="1:14" x14ac:dyDescent="0.2">
      <c r="D66" s="56">
        <f>+J61</f>
        <v>2030</v>
      </c>
      <c r="E66" s="37">
        <f t="shared" si="10"/>
        <v>-14060.401433859079</v>
      </c>
      <c r="F66" s="37">
        <v>0</v>
      </c>
      <c r="G66" s="37">
        <v>0</v>
      </c>
      <c r="H66" s="37">
        <v>0</v>
      </c>
      <c r="I66" s="37">
        <v>0</v>
      </c>
      <c r="J66" s="37">
        <f>+J$56</f>
        <v>25246.315927544954</v>
      </c>
      <c r="K66" s="37">
        <v>0</v>
      </c>
      <c r="L66" s="37">
        <v>0</v>
      </c>
      <c r="M66" s="47">
        <f>+IFERROR((N66)^(1/(J$61-$E$61))-1,0)</f>
        <v>0.12419088183718441</v>
      </c>
      <c r="N66" s="48">
        <f>+IFERROR(-SUM(F66:J66)/E66,0)</f>
        <v>1.795561531177118</v>
      </c>
    </row>
    <row r="67" spans="1:14" x14ac:dyDescent="0.2">
      <c r="D67" s="56">
        <f>+K61</f>
        <v>2031</v>
      </c>
      <c r="E67" s="37">
        <f t="shared" si="10"/>
        <v>-14060.401433859079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f>+K$56</f>
        <v>28164.336867046401</v>
      </c>
      <c r="L67" s="37">
        <v>0</v>
      </c>
      <c r="M67" s="47">
        <f>+IFERROR((N67)^(1/(K$61-$E$61))-1,0)</f>
        <v>0.12275147681425813</v>
      </c>
      <c r="N67" s="48">
        <f>+IFERROR(-SUM(F67:K67)/E67,0)</f>
        <v>2.0030962131154668</v>
      </c>
    </row>
    <row r="68" spans="1:14" x14ac:dyDescent="0.2">
      <c r="D68" s="56">
        <f>+L61</f>
        <v>2032</v>
      </c>
      <c r="E68" s="37">
        <f t="shared" si="10"/>
        <v>-14060.401433859079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f>+L$56</f>
        <v>31300.379650722414</v>
      </c>
      <c r="M68" s="47">
        <f>+IFERROR((N68)^(1/(L$61-$E$61))-1,0)</f>
        <v>0.12111527368027142</v>
      </c>
      <c r="N68" s="48">
        <f>+IFERROR(-SUM(F68:L68)/E68,0)</f>
        <v>2.2261369846345542</v>
      </c>
    </row>
    <row r="69" spans="1:14" x14ac:dyDescent="0.2">
      <c r="D69" s="57" t="str">
        <f>"Active Selected Exit Cash Flows @ "&amp;L10&amp;"E"</f>
        <v>Active Selected Exit Cash Flows @ 2030E</v>
      </c>
      <c r="E69" s="58">
        <f t="shared" ref="E69:N69" si="11">+INDEX(E62:E68,MATCH($L$10,$D$62:$D$68,0))</f>
        <v>-14060.401433859079</v>
      </c>
      <c r="F69" s="58">
        <f t="shared" si="11"/>
        <v>0</v>
      </c>
      <c r="G69" s="58">
        <f t="shared" si="11"/>
        <v>0</v>
      </c>
      <c r="H69" s="58">
        <f t="shared" si="11"/>
        <v>0</v>
      </c>
      <c r="I69" s="58">
        <f t="shared" si="11"/>
        <v>0</v>
      </c>
      <c r="J69" s="58">
        <f t="shared" si="11"/>
        <v>25246.315927544954</v>
      </c>
      <c r="K69" s="58">
        <f t="shared" si="11"/>
        <v>0</v>
      </c>
      <c r="L69" s="58">
        <f t="shared" si="11"/>
        <v>0</v>
      </c>
      <c r="M69" s="59">
        <f t="shared" si="11"/>
        <v>0.12419088183718441</v>
      </c>
      <c r="N69" s="60">
        <f t="shared" si="11"/>
        <v>1.795561531177118</v>
      </c>
    </row>
    <row r="71" spans="1:14" ht="16.05" customHeight="1" x14ac:dyDescent="0.2">
      <c r="A71" s="12" t="s">
        <v>4</v>
      </c>
      <c r="B71" s="12" t="s">
        <v>4</v>
      </c>
      <c r="C71" s="13" t="s">
        <v>89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3" spans="1:14" x14ac:dyDescent="0.2">
      <c r="D73" s="61" t="s">
        <v>90</v>
      </c>
      <c r="E73" s="62">
        <v>4.5</v>
      </c>
      <c r="F73" s="62">
        <v>5.5</v>
      </c>
      <c r="G73" s="62">
        <v>6.5</v>
      </c>
      <c r="I73" s="63" t="s">
        <v>91</v>
      </c>
      <c r="J73" s="63" t="s">
        <v>92</v>
      </c>
      <c r="K73" s="63" t="s">
        <v>93</v>
      </c>
    </row>
    <row r="74" spans="1:14" x14ac:dyDescent="0.2">
      <c r="D74" s="64">
        <v>0</v>
      </c>
      <c r="E74" s="65">
        <f t="shared" ref="E74:G76" si="12">+(I74)^(1/($L$10-$E$48))-1</f>
        <v>0.12203602512155998</v>
      </c>
      <c r="F74" s="65">
        <f t="shared" si="12"/>
        <v>0.1277532839140525</v>
      </c>
      <c r="G74" s="65">
        <f t="shared" si="12"/>
        <v>0.13436655647927886</v>
      </c>
      <c r="I74" s="66">
        <f>+(((INDEX($F$55:$L$55,1,MATCH($L$10,$F$48:$L$48,0))+((((($F$9*(1+$D74)*$F$12)-$F$19)/$F$7)-$L$11)*INDEX($F$49:$L$49,1,MATCH($L$10,$F$48:$L$48,0))*(1-$L$13))-((E$73-$G$30)*$F$7*(1+($L$10-$E$48)*'Debt &amp; Covenants'!$E$7*(1-0.22)))))*(((($F$9*(1+$D74)*$F$12)*$F$15)*(1+$L$12)+$I$30-(E$73*$F$7)-$F$20)/(((($F$9*(1+$D74)*$F$12)*$F$15)*(1+$L$12)+$I$30-(E$73*$F$7)-$F$20)+(($F$9*(1+$D74)*$F$12)*$F$14))))/((($F$9*(1+$D74)*$F$12)*$F$15)*(1+$L$12)+$I$30-(E$73*$F$7)-$F$20)</f>
        <v>1.778418653761793</v>
      </c>
      <c r="J74" s="66">
        <f>+(((INDEX($F$55:$L$55,1,MATCH($L$10,$F$48:$L$48,0))+((((($F$9*(1+$D74)*$F$12)-$F$19)/$F$7)-$L$11)*INDEX($F$49:$L$49,1,MATCH($L$10,$F$48:$L$48,0))*(1-$L$13))-((F$73-$G$30)*$F$7*(1+($L$10-$E$48)*'Debt &amp; Covenants'!$E$7*(1-0.22)))))*(((($F$9*(1+$D74)*$F$12)*$F$15)*(1+$L$12)+$I$30-(F$73*$F$7)-$F$20)/(((($F$9*(1+$D74)*$F$12)*$F$15)*(1+$L$12)+$I$30-(F$73*$F$7)-$F$20)+(($F$9*(1+$D74)*$F$12)*$F$14))))/((($F$9*(1+$D74)*$F$12)*$F$15)*(1+$L$12)+$I$30-(F$73*$F$7)-$F$20)</f>
        <v>1.82419181178692</v>
      </c>
      <c r="K74" s="66">
        <f>+(((INDEX($F$55:$L$55,1,MATCH($L$10,$F$48:$L$48,0))+((((($F$9*(1+$D74)*$F$12)-$F$19)/$F$7)-$L$11)*INDEX($F$49:$L$49,1,MATCH($L$10,$F$48:$L$48,0))*(1-$L$13))-((G$73-$G$30)*$F$7*(1+($L$10-$E$48)*'Debt &amp; Covenants'!$E$7*(1-0.22)))))*(((($F$9*(1+$D74)*$F$12)*$F$15)*(1+$L$12)+$I$30-(G$73*$F$7)-$F$20)/(((($F$9*(1+$D74)*$F$12)*$F$15)*(1+$L$12)+$I$30-(G$73*$F$7)-$F$20)+(($F$9*(1+$D74)*$F$12)*$F$14))))/((($F$9*(1+$D74)*$F$12)*$F$15)*(1+$L$12)+$I$30-(G$73*$F$7)-$F$20)</f>
        <v>1.8783091344944902</v>
      </c>
    </row>
    <row r="75" spans="1:14" x14ac:dyDescent="0.2">
      <c r="D75" s="64">
        <v>0.05</v>
      </c>
      <c r="E75" s="65">
        <f t="shared" si="12"/>
        <v>0.11904981984663943</v>
      </c>
      <c r="F75" s="67">
        <f t="shared" si="12"/>
        <v>0.12419088183718441</v>
      </c>
      <c r="G75" s="65">
        <f t="shared" si="12"/>
        <v>0.13007996985369497</v>
      </c>
      <c r="I75" s="66">
        <f>+(((INDEX($F$55:$L$55,1,MATCH($L$10,$F$48:$L$48,0))+((((($F$9*(1+$D75)*$F$12)-$F$19)/$F$7)-$L$11)*INDEX($F$49:$L$49,1,MATCH($L$10,$F$48:$L$48,0))*(1-$L$13))-((E$73-$G$30)*$F$7*(1+($L$10-$E$48)*'Debt &amp; Covenants'!$E$7*(1-0.22)))))*(((($F$9*(1+$D75)*$F$12)*$F$15)*(1+$L$12)+$I$30-(E$73*$F$7)-$F$20)/(((($F$9*(1+$D75)*$F$12)*$F$15)*(1+$L$12)+$I$30-(E$73*$F$7)-$F$20)+(($F$9*(1+$D75)*$F$12)*$F$14))))/((($F$9*(1+$D75)*$F$12)*$F$15)*(1+$L$12)+$I$30-(E$73*$F$7)-$F$20)</f>
        <v>1.7548787223941333</v>
      </c>
      <c r="J75" s="68">
        <f>+(((INDEX($F$55:$L$55,1,MATCH($L$10,$F$48:$L$48,0))+((((($F$9*(1+$D75)*$F$12)-$F$19)/$F$7)-$L$11)*INDEX($F$49:$L$49,1,MATCH($L$10,$F$48:$L$48,0))*(1-$L$13))-((F$73-$G$30)*$F$7*(1+($L$10-$E$48)*'Debt &amp; Covenants'!$E$7*(1-0.22)))))*(((($F$9*(1+$D75)*$F$12)*$F$15)*(1+$L$12)+$I$30-(F$73*$F$7)-$F$20)/(((($F$9*(1+$D75)*$F$12)*$F$15)*(1+$L$12)+$I$30-(F$73*$F$7)-$F$20)+(($F$9*(1+$D75)*$F$12)*$F$14))))/((($F$9*(1+$D75)*$F$12)*$F$15)*(1+$L$12)+$I$30-(F$73*$F$7)-$F$20)</f>
        <v>1.795561531177118</v>
      </c>
      <c r="K75" s="66">
        <f>+(((INDEX($F$55:$L$55,1,MATCH($L$10,$F$48:$L$48,0))+((((($F$9*(1+$D75)*$F$12)-$F$19)/$F$7)-$L$11)*INDEX($F$49:$L$49,1,MATCH($L$10,$F$48:$L$48,0))*(1-$L$13))-((G$73-$G$30)*$F$7*(1+($L$10-$E$48)*'Debt &amp; Covenants'!$E$7*(1-0.22)))))*(((($F$9*(1+$D75)*$F$12)*$F$15)*(1+$L$12)+$I$30-(G$73*$F$7)-$F$20)/(((($F$9*(1+$D75)*$F$12)*$F$15)*(1+$L$12)+$I$30-(G$73*$F$7)-$F$20)+(($F$9*(1+$D75)*$F$12)*$F$14))))/((($F$9*(1+$D75)*$F$12)*$F$15)*(1+$L$12)+$I$30-(G$73*$F$7)-$F$20)</f>
        <v>1.8430872152625815</v>
      </c>
    </row>
    <row r="76" spans="1:14" x14ac:dyDescent="0.2">
      <c r="D76" s="64">
        <v>0.1</v>
      </c>
      <c r="E76" s="65">
        <f t="shared" si="12"/>
        <v>0.11640788726844242</v>
      </c>
      <c r="F76" s="65">
        <f t="shared" si="12"/>
        <v>0.12106578782372202</v>
      </c>
      <c r="G76" s="65">
        <f t="shared" si="12"/>
        <v>0.12635619559500588</v>
      </c>
      <c r="I76" s="66">
        <f>+(((INDEX($F$55:$L$55,1,MATCH($L$10,$F$48:$L$48,0))+((((($F$9*(1+$D76)*$F$12)-$F$19)/$F$7)-$L$11)*INDEX($F$49:$L$49,1,MATCH($L$10,$F$48:$L$48,0))*(1-$L$13))-((E$73-$G$30)*$F$7*(1+($L$10-$E$48)*'Debt &amp; Covenants'!$E$7*(1-0.22)))))*(((($F$9*(1+$D76)*$F$12)*$F$15)*(1+$L$12)+$I$30-(E$73*$F$7)-$F$20)/(((($F$9*(1+$D76)*$F$12)*$F$15)*(1+$L$12)+$I$30-(E$73*$F$7)-$F$20)+(($F$9*(1+$D76)*$F$12)*$F$14))))/((($F$9*(1+$D76)*$F$12)*$F$15)*(1+$L$12)+$I$30-(E$73*$F$7)-$F$20)</f>
        <v>1.7342610897927524</v>
      </c>
      <c r="J76" s="66">
        <f>+(((INDEX($F$55:$L$55,1,MATCH($L$10,$F$48:$L$48,0))+((((($F$9*(1+$D76)*$F$12)-$F$19)/$F$7)-$L$11)*INDEX($F$49:$L$49,1,MATCH($L$10,$F$48:$L$48,0))*(1-$L$13))-((F$73-$G$30)*$F$7*(1+($L$10-$E$48)*'Debt &amp; Covenants'!$E$7*(1-0.22)))))*(((($F$9*(1+$D76)*$F$12)*$F$15)*(1+$L$12)+$I$30-(F$73*$F$7)-$F$20)/(((($F$9*(1+$D76)*$F$12)*$F$15)*(1+$L$12)+$I$30-(F$73*$F$7)-$F$20)+(($F$9*(1+$D76)*$F$12)*$F$14))))/((($F$9*(1+$D76)*$F$12)*$F$15)*(1+$L$12)+$I$30-(F$73*$F$7)-$F$20)</f>
        <v>1.7707428458937198</v>
      </c>
      <c r="K76" s="66">
        <f>+(((INDEX($F$55:$L$55,1,MATCH($L$10,$F$48:$L$48,0))+((((($F$9*(1+$D76)*$F$12)-$F$19)/$F$7)-$L$11)*INDEX($F$49:$L$49,1,MATCH($L$10,$F$48:$L$48,0))*(1-$L$13))-((G$73-$G$30)*$F$7*(1+($L$10-$E$48)*'Debt &amp; Covenants'!$E$7*(1-0.22)))))*(((($F$9*(1+$D76)*$F$12)*$F$15)*(1+$L$12)+$I$30-(G$73*$F$7)-$F$20)/(((($F$9*(1+$D76)*$F$12)*$F$15)*(1+$L$12)+$I$30-(G$73*$F$7)-$F$20)+(($F$9*(1+$D76)*$F$12)*$F$14))))/((($F$9*(1+$D76)*$F$12)*$F$15)*(1+$L$12)+$I$30-(G$73*$F$7)-$F$20)</f>
        <v>1.8129205058359135</v>
      </c>
    </row>
  </sheetData>
  <mergeCells count="18">
    <mergeCell ref="H37:I37"/>
    <mergeCell ref="H7:K7"/>
    <mergeCell ref="H36:I36"/>
    <mergeCell ref="H15:K15"/>
    <mergeCell ref="H10:K10"/>
    <mergeCell ref="H19:K19"/>
    <mergeCell ref="H9:K9"/>
    <mergeCell ref="H8:K8"/>
    <mergeCell ref="H11:K11"/>
    <mergeCell ref="H12:K12"/>
    <mergeCell ref="H33:I33"/>
    <mergeCell ref="H20:K20"/>
    <mergeCell ref="H16:K16"/>
    <mergeCell ref="H18:K18"/>
    <mergeCell ref="H14:K14"/>
    <mergeCell ref="H34:I34"/>
    <mergeCell ref="H35:I35"/>
    <mergeCell ref="H13:K13"/>
  </mergeCells>
  <dataValidations count="1">
    <dataValidation type="list" sqref="L10" xr:uid="{00000000-0002-0000-0100-000000000000}">
      <formula1>"2026,2027,2028,2029,2030,2031,2032"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9"/>
  <sheetViews>
    <sheetView showGridLines="0" workbookViewId="0"/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44" customWidth="1"/>
    <col min="5" max="7" width="9.42578125" customWidth="1"/>
    <col min="8" max="8" width="10.42578125" customWidth="1"/>
    <col min="9" max="19" width="11" customWidth="1"/>
    <col min="20" max="21" width="10.42578125" customWidth="1"/>
  </cols>
  <sheetData>
    <row r="1" spans="1:21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 t="s">
        <v>1</v>
      </c>
    </row>
    <row r="2" spans="1:21" ht="16.05" customHeight="1" x14ac:dyDescent="0.25">
      <c r="A2" s="6" t="s">
        <v>2</v>
      </c>
      <c r="B2" s="6" t="s">
        <v>108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4" spans="1:21" ht="16.05" customHeight="1" x14ac:dyDescent="0.2">
      <c r="A4" s="12" t="s">
        <v>4</v>
      </c>
      <c r="B4" s="12" t="s">
        <v>4</v>
      </c>
      <c r="C4" s="13" t="s">
        <v>109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6" spans="1:21" ht="13.95" customHeight="1" x14ac:dyDescent="0.2">
      <c r="C6" s="14" t="s">
        <v>110</v>
      </c>
      <c r="D6" s="14"/>
      <c r="E6" s="69" t="s">
        <v>111</v>
      </c>
      <c r="F6" s="69" t="s">
        <v>112</v>
      </c>
      <c r="G6" s="69" t="s">
        <v>113</v>
      </c>
      <c r="H6" s="69" t="s">
        <v>114</v>
      </c>
      <c r="I6" s="69" t="s">
        <v>115</v>
      </c>
      <c r="J6" s="69" t="s">
        <v>115</v>
      </c>
      <c r="K6" s="69" t="s">
        <v>115</v>
      </c>
      <c r="L6" s="69" t="s">
        <v>115</v>
      </c>
      <c r="M6" s="69" t="s">
        <v>115</v>
      </c>
      <c r="N6" s="69" t="s">
        <v>115</v>
      </c>
      <c r="O6" s="69" t="s">
        <v>115</v>
      </c>
      <c r="P6" s="69" t="s">
        <v>115</v>
      </c>
      <c r="Q6" s="69" t="s">
        <v>115</v>
      </c>
      <c r="R6" s="69" t="s">
        <v>115</v>
      </c>
      <c r="S6" s="69" t="s">
        <v>115</v>
      </c>
      <c r="T6" s="14"/>
      <c r="U6" s="14"/>
    </row>
    <row r="7" spans="1:21" ht="13.95" customHeight="1" x14ac:dyDescent="0.2">
      <c r="C7" s="14" t="s">
        <v>49</v>
      </c>
      <c r="D7" s="14" t="s">
        <v>116</v>
      </c>
      <c r="E7" s="69" t="s">
        <v>117</v>
      </c>
      <c r="F7" s="69" t="s">
        <v>118</v>
      </c>
      <c r="G7" s="69" t="s">
        <v>119</v>
      </c>
      <c r="H7" s="69" t="str">
        <f>CHOOSE($F$8,E7,F7,G7)</f>
        <v>Base</v>
      </c>
      <c r="I7" s="52">
        <v>2022</v>
      </c>
      <c r="J7" s="52">
        <f t="shared" ref="J7:S7" si="0">+I7+1</f>
        <v>2023</v>
      </c>
      <c r="K7" s="52">
        <f t="shared" si="0"/>
        <v>2024</v>
      </c>
      <c r="L7" s="52">
        <f t="shared" si="0"/>
        <v>2025</v>
      </c>
      <c r="M7" s="53">
        <f t="shared" si="0"/>
        <v>2026</v>
      </c>
      <c r="N7" s="53">
        <f t="shared" si="0"/>
        <v>2027</v>
      </c>
      <c r="O7" s="53">
        <f t="shared" si="0"/>
        <v>2028</v>
      </c>
      <c r="P7" s="53">
        <f t="shared" si="0"/>
        <v>2029</v>
      </c>
      <c r="Q7" s="53">
        <f t="shared" si="0"/>
        <v>2030</v>
      </c>
      <c r="R7" s="53">
        <f t="shared" si="0"/>
        <v>2031</v>
      </c>
      <c r="S7" s="53">
        <f t="shared" si="0"/>
        <v>2032</v>
      </c>
      <c r="T7" s="14"/>
      <c r="U7" s="14"/>
    </row>
    <row r="8" spans="1:21" x14ac:dyDescent="0.2">
      <c r="B8" s="9">
        <v>1</v>
      </c>
      <c r="D8" s="54" t="s">
        <v>120</v>
      </c>
      <c r="E8" s="70" t="s">
        <v>121</v>
      </c>
      <c r="F8" s="71">
        <v>1</v>
      </c>
      <c r="G8" s="54"/>
      <c r="H8" s="72" t="str">
        <f>CHOOSE($F$8,E7,F7,G7)</f>
        <v>Base</v>
      </c>
    </row>
    <row r="9" spans="1:21" x14ac:dyDescent="0.2">
      <c r="D9" s="18" t="s">
        <v>122</v>
      </c>
      <c r="E9" s="73">
        <v>5.5E-2</v>
      </c>
      <c r="F9" s="73">
        <v>0.08</v>
      </c>
      <c r="G9" s="73">
        <v>2.2499999999999999E-2</v>
      </c>
      <c r="H9" s="74">
        <f t="shared" ref="H9:H17" si="1">CHOOSE($F$8,E9,F9,G9)</f>
        <v>5.5E-2</v>
      </c>
      <c r="I9" s="73">
        <v>0.17499999999999999</v>
      </c>
      <c r="J9" s="73">
        <v>0.104</v>
      </c>
      <c r="K9" s="73">
        <v>7.4999999999999997E-2</v>
      </c>
      <c r="L9" s="73">
        <v>3.2000000000000001E-2</v>
      </c>
      <c r="M9" s="75">
        <f t="shared" ref="M9:S17" si="2">+$H9</f>
        <v>5.5E-2</v>
      </c>
      <c r="N9" s="75">
        <f t="shared" si="2"/>
        <v>5.5E-2</v>
      </c>
      <c r="O9" s="75">
        <f t="shared" si="2"/>
        <v>5.5E-2</v>
      </c>
      <c r="P9" s="75">
        <f t="shared" si="2"/>
        <v>5.5E-2</v>
      </c>
      <c r="Q9" s="75">
        <f t="shared" si="2"/>
        <v>5.5E-2</v>
      </c>
      <c r="R9" s="75">
        <f t="shared" si="2"/>
        <v>5.5E-2</v>
      </c>
      <c r="S9" s="75">
        <f t="shared" si="2"/>
        <v>5.5E-2</v>
      </c>
    </row>
    <row r="10" spans="1:21" x14ac:dyDescent="0.2">
      <c r="D10" s="18" t="s">
        <v>123</v>
      </c>
      <c r="E10" s="73">
        <v>0.58199999999999996</v>
      </c>
      <c r="F10" s="73">
        <v>0.59</v>
      </c>
      <c r="G10" s="73">
        <v>0.56999999999999995</v>
      </c>
      <c r="H10" s="74">
        <f t="shared" si="1"/>
        <v>0.58199999999999996</v>
      </c>
      <c r="I10" s="76">
        <f>+I23/I$21</f>
        <v>0.56983634744695877</v>
      </c>
      <c r="J10" s="76">
        <f>+J23/J$21</f>
        <v>0.57757253734664926</v>
      </c>
      <c r="K10" s="76">
        <f>+K23/K$21</f>
        <v>0.57835473182853592</v>
      </c>
      <c r="L10" s="76">
        <f>+L23/L$21</f>
        <v>0.58253060405378287</v>
      </c>
      <c r="M10" s="75">
        <f t="shared" si="2"/>
        <v>0.58199999999999996</v>
      </c>
      <c r="N10" s="75">
        <f t="shared" si="2"/>
        <v>0.58199999999999996</v>
      </c>
      <c r="O10" s="75">
        <f t="shared" si="2"/>
        <v>0.58199999999999996</v>
      </c>
      <c r="P10" s="75">
        <f t="shared" si="2"/>
        <v>0.58199999999999996</v>
      </c>
      <c r="Q10" s="75">
        <f t="shared" si="2"/>
        <v>0.58199999999999996</v>
      </c>
      <c r="R10" s="75">
        <f t="shared" si="2"/>
        <v>0.58199999999999996</v>
      </c>
      <c r="S10" s="75">
        <f t="shared" si="2"/>
        <v>0.58199999999999996</v>
      </c>
    </row>
    <row r="11" spans="1:21" x14ac:dyDescent="0.2">
      <c r="D11" s="18" t="s">
        <v>124</v>
      </c>
      <c r="E11" s="73">
        <v>4.2500000000000003E-2</v>
      </c>
      <c r="F11" s="73">
        <v>5.5E-2</v>
      </c>
      <c r="G11" s="73">
        <v>3.2500000000000001E-2</v>
      </c>
      <c r="H11" s="74">
        <f t="shared" si="1"/>
        <v>4.2500000000000003E-2</v>
      </c>
      <c r="I11" s="73">
        <v>0.109</v>
      </c>
      <c r="J11" s="73">
        <v>0.1</v>
      </c>
      <c r="K11" s="73">
        <v>6.5000000000000002E-2</v>
      </c>
      <c r="L11" s="73">
        <v>2.8000000000000001E-2</v>
      </c>
      <c r="M11" s="75">
        <f t="shared" si="2"/>
        <v>4.2500000000000003E-2</v>
      </c>
      <c r="N11" s="75">
        <f t="shared" si="2"/>
        <v>4.2500000000000003E-2</v>
      </c>
      <c r="O11" s="75">
        <f t="shared" si="2"/>
        <v>4.2500000000000003E-2</v>
      </c>
      <c r="P11" s="75">
        <f t="shared" si="2"/>
        <v>4.2500000000000003E-2</v>
      </c>
      <c r="Q11" s="75">
        <f t="shared" si="2"/>
        <v>4.2500000000000003E-2</v>
      </c>
      <c r="R11" s="75">
        <f t="shared" si="2"/>
        <v>4.2500000000000003E-2</v>
      </c>
      <c r="S11" s="75">
        <f t="shared" si="2"/>
        <v>4.2500000000000003E-2</v>
      </c>
    </row>
    <row r="12" spans="1:21" x14ac:dyDescent="0.2">
      <c r="D12" s="18" t="s">
        <v>125</v>
      </c>
      <c r="E12" s="73">
        <v>0.02</v>
      </c>
      <c r="F12" s="73">
        <v>0.03</v>
      </c>
      <c r="G12" s="73">
        <v>0.01</v>
      </c>
      <c r="H12" s="74">
        <f t="shared" si="1"/>
        <v>0.02</v>
      </c>
      <c r="I12" s="73">
        <v>0.05</v>
      </c>
      <c r="J12" s="76">
        <f>+J28/I28-1</f>
        <v>6.9093152375077072E-2</v>
      </c>
      <c r="K12" s="76">
        <f>+K28/J28-1</f>
        <v>3.9815349105597253E-2</v>
      </c>
      <c r="L12" s="76">
        <f>+L28/K28-1</f>
        <v>1.7758046614872347E-2</v>
      </c>
      <c r="M12" s="75">
        <f t="shared" si="2"/>
        <v>0.02</v>
      </c>
      <c r="N12" s="75">
        <f t="shared" si="2"/>
        <v>0.02</v>
      </c>
      <c r="O12" s="75">
        <f t="shared" si="2"/>
        <v>0.02</v>
      </c>
      <c r="P12" s="75">
        <f t="shared" si="2"/>
        <v>0.02</v>
      </c>
      <c r="Q12" s="75">
        <f t="shared" si="2"/>
        <v>0.02</v>
      </c>
      <c r="R12" s="75">
        <f t="shared" si="2"/>
        <v>0.02</v>
      </c>
      <c r="S12" s="75">
        <f t="shared" si="2"/>
        <v>0.02</v>
      </c>
    </row>
    <row r="13" spans="1:21" x14ac:dyDescent="0.2">
      <c r="D13" s="18" t="s">
        <v>126</v>
      </c>
      <c r="E13" s="73">
        <v>3.5000000000000003E-2</v>
      </c>
      <c r="F13" s="73">
        <v>3.5000000000000003E-2</v>
      </c>
      <c r="G13" s="73">
        <v>3.4000000000000002E-2</v>
      </c>
      <c r="H13" s="74">
        <f t="shared" si="1"/>
        <v>3.5000000000000003E-2</v>
      </c>
      <c r="I13" s="76">
        <f t="shared" ref="I13:L14" si="3">+I52/I$21</f>
        <v>3.2239245908686175E-2</v>
      </c>
      <c r="J13" s="76">
        <f t="shared" si="3"/>
        <v>3.4773416418616296E-2</v>
      </c>
      <c r="K13" s="76">
        <f t="shared" si="3"/>
        <v>3.7533650859391178E-2</v>
      </c>
      <c r="L13" s="76">
        <f t="shared" si="3"/>
        <v>3.7126229179209311E-2</v>
      </c>
      <c r="M13" s="75">
        <f t="shared" si="2"/>
        <v>3.5000000000000003E-2</v>
      </c>
      <c r="N13" s="75">
        <f t="shared" si="2"/>
        <v>3.5000000000000003E-2</v>
      </c>
      <c r="O13" s="75">
        <f t="shared" si="2"/>
        <v>3.5000000000000003E-2</v>
      </c>
      <c r="P13" s="75">
        <f t="shared" si="2"/>
        <v>3.5000000000000003E-2</v>
      </c>
      <c r="Q13" s="75">
        <f t="shared" si="2"/>
        <v>3.5000000000000003E-2</v>
      </c>
      <c r="R13" s="75">
        <f t="shared" si="2"/>
        <v>3.5000000000000003E-2</v>
      </c>
      <c r="S13" s="75">
        <f t="shared" si="2"/>
        <v>3.5000000000000003E-2</v>
      </c>
    </row>
    <row r="14" spans="1:21" x14ac:dyDescent="0.2">
      <c r="D14" s="18" t="s">
        <v>127</v>
      </c>
      <c r="E14" s="73">
        <v>1.7000000000000001E-2</v>
      </c>
      <c r="F14" s="73">
        <v>0.02</v>
      </c>
      <c r="G14" s="73">
        <v>1.2E-2</v>
      </c>
      <c r="H14" s="74">
        <f t="shared" si="1"/>
        <v>1.7000000000000001E-2</v>
      </c>
      <c r="I14" s="76">
        <f t="shared" si="3"/>
        <v>1.1206975958733765E-2</v>
      </c>
      <c r="J14" s="76">
        <f t="shared" si="3"/>
        <v>1.7303252009903469E-2</v>
      </c>
      <c r="K14" s="76">
        <f t="shared" si="3"/>
        <v>3.1631807827707602E-2</v>
      </c>
      <c r="L14" s="76">
        <f t="shared" si="3"/>
        <v>3.0905077262693158E-2</v>
      </c>
      <c r="M14" s="75">
        <f t="shared" si="2"/>
        <v>1.7000000000000001E-2</v>
      </c>
      <c r="N14" s="75">
        <f t="shared" si="2"/>
        <v>1.7000000000000001E-2</v>
      </c>
      <c r="O14" s="75">
        <f t="shared" si="2"/>
        <v>1.7000000000000001E-2</v>
      </c>
      <c r="P14" s="75">
        <f t="shared" si="2"/>
        <v>1.7000000000000001E-2</v>
      </c>
      <c r="Q14" s="75">
        <f t="shared" si="2"/>
        <v>1.7000000000000001E-2</v>
      </c>
      <c r="R14" s="75">
        <f t="shared" si="2"/>
        <v>1.7000000000000001E-2</v>
      </c>
      <c r="S14" s="75">
        <f t="shared" si="2"/>
        <v>1.7000000000000001E-2</v>
      </c>
    </row>
    <row r="15" spans="1:21" x14ac:dyDescent="0.2">
      <c r="D15" s="18" t="s">
        <v>128</v>
      </c>
      <c r="E15" s="73">
        <v>8.1500000000000003E-2</v>
      </c>
      <c r="F15" s="73">
        <v>7.9000000000000001E-2</v>
      </c>
      <c r="G15" s="73">
        <v>8.5000000000000006E-2</v>
      </c>
      <c r="H15" s="74">
        <f t="shared" si="1"/>
        <v>8.1500000000000003E-2</v>
      </c>
      <c r="I15" s="76">
        <f t="shared" ref="I15:L17" si="4">+I39/I$21</f>
        <v>9.7976603518683411E-2</v>
      </c>
      <c r="J15" s="76">
        <f t="shared" si="4"/>
        <v>8.251036247809275E-2</v>
      </c>
      <c r="K15" s="76">
        <f t="shared" si="4"/>
        <v>8.5965003106233173E-2</v>
      </c>
      <c r="L15" s="76">
        <f t="shared" si="4"/>
        <v>8.1502107164358822E-2</v>
      </c>
      <c r="M15" s="75">
        <f t="shared" si="2"/>
        <v>8.1500000000000003E-2</v>
      </c>
      <c r="N15" s="75">
        <f t="shared" si="2"/>
        <v>8.1500000000000003E-2</v>
      </c>
      <c r="O15" s="75">
        <f t="shared" si="2"/>
        <v>8.1500000000000003E-2</v>
      </c>
      <c r="P15" s="75">
        <f t="shared" si="2"/>
        <v>8.1500000000000003E-2</v>
      </c>
      <c r="Q15" s="75">
        <f t="shared" si="2"/>
        <v>8.1500000000000003E-2</v>
      </c>
      <c r="R15" s="75">
        <f t="shared" si="2"/>
        <v>8.1500000000000003E-2</v>
      </c>
      <c r="S15" s="75">
        <f t="shared" si="2"/>
        <v>8.1500000000000003E-2</v>
      </c>
    </row>
    <row r="16" spans="1:21" x14ac:dyDescent="0.2">
      <c r="D16" s="18" t="s">
        <v>129</v>
      </c>
      <c r="E16" s="73">
        <v>2.92E-2</v>
      </c>
      <c r="F16" s="73">
        <v>2.8500000000000001E-2</v>
      </c>
      <c r="G16" s="73">
        <v>0.03</v>
      </c>
      <c r="H16" s="74">
        <f t="shared" si="1"/>
        <v>2.92E-2</v>
      </c>
      <c r="I16" s="76">
        <f t="shared" si="4"/>
        <v>2.612914120789708E-2</v>
      </c>
      <c r="J16" s="76">
        <f t="shared" si="4"/>
        <v>2.8875844994018973E-2</v>
      </c>
      <c r="K16" s="76">
        <f t="shared" si="4"/>
        <v>2.8163180782770761E-2</v>
      </c>
      <c r="L16" s="76">
        <f t="shared" si="4"/>
        <v>2.9249448123620309E-2</v>
      </c>
      <c r="M16" s="75">
        <f t="shared" si="2"/>
        <v>2.92E-2</v>
      </c>
      <c r="N16" s="75">
        <f t="shared" si="2"/>
        <v>2.92E-2</v>
      </c>
      <c r="O16" s="75">
        <f t="shared" si="2"/>
        <v>2.92E-2</v>
      </c>
      <c r="P16" s="75">
        <f t="shared" si="2"/>
        <v>2.92E-2</v>
      </c>
      <c r="Q16" s="75">
        <f t="shared" si="2"/>
        <v>2.92E-2</v>
      </c>
      <c r="R16" s="75">
        <f t="shared" si="2"/>
        <v>2.92E-2</v>
      </c>
      <c r="S16" s="75">
        <f t="shared" si="2"/>
        <v>2.92E-2</v>
      </c>
    </row>
    <row r="17" spans="2:21" x14ac:dyDescent="0.2">
      <c r="D17" s="18" t="s">
        <v>130</v>
      </c>
      <c r="E17" s="73">
        <v>-0.21540000000000001</v>
      </c>
      <c r="F17" s="73">
        <v>-0.2155</v>
      </c>
      <c r="G17" s="73">
        <v>-0.21299999999999999</v>
      </c>
      <c r="H17" s="74">
        <f t="shared" si="1"/>
        <v>-0.21540000000000001</v>
      </c>
      <c r="I17" s="76">
        <f t="shared" si="4"/>
        <v>-0.20144923086370475</v>
      </c>
      <c r="J17" s="76">
        <f t="shared" si="4"/>
        <v>-0.20772248031824631</v>
      </c>
      <c r="K17" s="76">
        <f t="shared" si="4"/>
        <v>-0.22235452474632428</v>
      </c>
      <c r="L17" s="76">
        <f t="shared" si="4"/>
        <v>-0.21540738510937185</v>
      </c>
      <c r="M17" s="75">
        <f t="shared" si="2"/>
        <v>-0.21540000000000001</v>
      </c>
      <c r="N17" s="75">
        <f t="shared" si="2"/>
        <v>-0.21540000000000001</v>
      </c>
      <c r="O17" s="75">
        <f t="shared" si="2"/>
        <v>-0.21540000000000001</v>
      </c>
      <c r="P17" s="75">
        <f t="shared" si="2"/>
        <v>-0.21540000000000001</v>
      </c>
      <c r="Q17" s="75">
        <f t="shared" si="2"/>
        <v>-0.21540000000000001</v>
      </c>
      <c r="R17" s="75">
        <f t="shared" si="2"/>
        <v>-0.21540000000000001</v>
      </c>
      <c r="S17" s="75">
        <f t="shared" si="2"/>
        <v>-0.21540000000000001</v>
      </c>
    </row>
    <row r="19" spans="2:21" ht="13.95" customHeight="1" x14ac:dyDescent="0.2">
      <c r="C19" s="14" t="s">
        <v>131</v>
      </c>
      <c r="D19" s="14"/>
      <c r="E19" s="14"/>
      <c r="F19" s="14"/>
      <c r="G19" s="14"/>
      <c r="H19" s="14"/>
      <c r="I19" s="69" t="s">
        <v>115</v>
      </c>
      <c r="J19" s="69" t="s">
        <v>115</v>
      </c>
      <c r="K19" s="69" t="s">
        <v>115</v>
      </c>
      <c r="L19" s="69" t="s">
        <v>115</v>
      </c>
      <c r="M19" s="69" t="s">
        <v>115</v>
      </c>
      <c r="N19" s="69" t="s">
        <v>115</v>
      </c>
      <c r="O19" s="69" t="s">
        <v>115</v>
      </c>
      <c r="P19" s="69" t="s">
        <v>115</v>
      </c>
      <c r="Q19" s="69" t="s">
        <v>115</v>
      </c>
      <c r="R19" s="69" t="s">
        <v>115</v>
      </c>
      <c r="S19" s="69" t="s">
        <v>115</v>
      </c>
      <c r="T19" s="69" t="s">
        <v>132</v>
      </c>
      <c r="U19" s="69" t="s">
        <v>132</v>
      </c>
    </row>
    <row r="20" spans="2:21" ht="13.95" customHeight="1" x14ac:dyDescent="0.2">
      <c r="C20" s="14" t="s">
        <v>49</v>
      </c>
      <c r="D20" s="14" t="s">
        <v>116</v>
      </c>
      <c r="E20" s="14"/>
      <c r="F20" s="14"/>
      <c r="G20" s="14"/>
      <c r="H20" s="14"/>
      <c r="I20" s="52">
        <v>2022</v>
      </c>
      <c r="J20" s="52">
        <f t="shared" ref="J20:S20" si="5">+I20+1</f>
        <v>2023</v>
      </c>
      <c r="K20" s="52">
        <f t="shared" si="5"/>
        <v>2024</v>
      </c>
      <c r="L20" s="52">
        <f t="shared" si="5"/>
        <v>2025</v>
      </c>
      <c r="M20" s="53">
        <f t="shared" si="5"/>
        <v>2026</v>
      </c>
      <c r="N20" s="53">
        <f t="shared" si="5"/>
        <v>2027</v>
      </c>
      <c r="O20" s="53">
        <f t="shared" si="5"/>
        <v>2028</v>
      </c>
      <c r="P20" s="53">
        <f t="shared" si="5"/>
        <v>2029</v>
      </c>
      <c r="Q20" s="53">
        <f t="shared" si="5"/>
        <v>2030</v>
      </c>
      <c r="R20" s="53">
        <f t="shared" si="5"/>
        <v>2031</v>
      </c>
      <c r="S20" s="53">
        <f t="shared" si="5"/>
        <v>2032</v>
      </c>
      <c r="T20" s="69" t="s">
        <v>133</v>
      </c>
      <c r="U20" s="69" t="s">
        <v>134</v>
      </c>
    </row>
    <row r="21" spans="2:21" x14ac:dyDescent="0.2">
      <c r="B21" s="9">
        <v>2</v>
      </c>
      <c r="D21" s="54" t="s">
        <v>135</v>
      </c>
      <c r="I21" s="77">
        <v>32569</v>
      </c>
      <c r="J21" s="77">
        <v>35947</v>
      </c>
      <c r="K21" s="77">
        <v>38632</v>
      </c>
      <c r="L21" s="77">
        <v>39864</v>
      </c>
      <c r="M21" s="55">
        <f t="shared" ref="M21:S21" si="6">+L21*(1+M9)</f>
        <v>42056.52</v>
      </c>
      <c r="N21" s="55">
        <f t="shared" si="6"/>
        <v>44369.628599999996</v>
      </c>
      <c r="O21" s="55">
        <f t="shared" si="6"/>
        <v>46809.958172999992</v>
      </c>
      <c r="P21" s="55">
        <f t="shared" si="6"/>
        <v>49384.505872514987</v>
      </c>
      <c r="Q21" s="55">
        <f t="shared" si="6"/>
        <v>52100.653695503308</v>
      </c>
      <c r="R21" s="55">
        <f t="shared" si="6"/>
        <v>54966.189648755986</v>
      </c>
      <c r="S21" s="55">
        <f t="shared" si="6"/>
        <v>57989.330079437561</v>
      </c>
      <c r="T21" s="78">
        <f>+IFERROR((L21/I21)^(1/(L$20-I$20))-1,0)</f>
        <v>6.9692169565607642E-2</v>
      </c>
      <c r="U21" s="78">
        <f>+IFERROR((S21/L21)^(1/(S$20-L$20))-1,0)</f>
        <v>5.4999999999999938E-2</v>
      </c>
    </row>
    <row r="22" spans="2:21" x14ac:dyDescent="0.2">
      <c r="D22" s="18" t="s">
        <v>136</v>
      </c>
      <c r="I22" s="37">
        <f t="shared" ref="I22:S22" si="7">+I23-I21</f>
        <v>-14010</v>
      </c>
      <c r="J22" s="37">
        <f t="shared" si="7"/>
        <v>-15185</v>
      </c>
      <c r="K22" s="37">
        <f t="shared" si="7"/>
        <v>-16289</v>
      </c>
      <c r="L22" s="37">
        <f t="shared" si="7"/>
        <v>-16642</v>
      </c>
      <c r="M22" s="37">
        <f t="shared" si="7"/>
        <v>-17579.625360000002</v>
      </c>
      <c r="N22" s="37">
        <f t="shared" si="7"/>
        <v>-18546.5047548</v>
      </c>
      <c r="O22" s="37">
        <f t="shared" si="7"/>
        <v>-19566.562516313999</v>
      </c>
      <c r="P22" s="37">
        <f t="shared" si="7"/>
        <v>-20642.723454711268</v>
      </c>
      <c r="Q22" s="37">
        <f t="shared" si="7"/>
        <v>-21778.073244720385</v>
      </c>
      <c r="R22" s="37">
        <f t="shared" si="7"/>
        <v>-22975.867273180003</v>
      </c>
      <c r="S22" s="37">
        <f t="shared" si="7"/>
        <v>-24239.539973204905</v>
      </c>
      <c r="T22" s="46">
        <f>+IFERROR((L22/I22)^(1/(L$20-I$20))-1,0)</f>
        <v>5.9064622247452236E-2</v>
      </c>
      <c r="U22" s="46">
        <f>+IFERROR((S22/L22)^(1/(S$20-L$20))-1,0)</f>
        <v>5.5191453757701403E-2</v>
      </c>
    </row>
    <row r="23" spans="2:21" x14ac:dyDescent="0.2">
      <c r="D23" s="54" t="s">
        <v>137</v>
      </c>
      <c r="I23" s="77">
        <v>18559</v>
      </c>
      <c r="J23" s="77">
        <v>20762</v>
      </c>
      <c r="K23" s="77">
        <v>22343</v>
      </c>
      <c r="L23" s="77">
        <v>23222</v>
      </c>
      <c r="M23" s="55">
        <f t="shared" ref="M23:S23" si="8">+M21*M10</f>
        <v>24476.894639999995</v>
      </c>
      <c r="N23" s="55">
        <f t="shared" si="8"/>
        <v>25823.123845199996</v>
      </c>
      <c r="O23" s="55">
        <f t="shared" si="8"/>
        <v>27243.395656685992</v>
      </c>
      <c r="P23" s="55">
        <f t="shared" si="8"/>
        <v>28741.782417803719</v>
      </c>
      <c r="Q23" s="55">
        <f t="shared" si="8"/>
        <v>30322.580450782923</v>
      </c>
      <c r="R23" s="55">
        <f t="shared" si="8"/>
        <v>31990.322375575983</v>
      </c>
      <c r="S23" s="55">
        <f t="shared" si="8"/>
        <v>33749.790106232656</v>
      </c>
      <c r="T23" s="78">
        <f>+IFERROR((L23/I23)^(1/(L$20-I$20))-1,0)</f>
        <v>7.7577090563288209E-2</v>
      </c>
      <c r="U23" s="78">
        <f>+IFERROR((S23/L23)^(1/(S$20-L$20))-1,0)</f>
        <v>5.4862666706853691E-2</v>
      </c>
    </row>
    <row r="24" spans="2:21" x14ac:dyDescent="0.2">
      <c r="D24" s="79" t="s">
        <v>138</v>
      </c>
      <c r="I24" s="80">
        <f t="shared" ref="I24:S24" si="9">+IFERROR(I23/I$21,0)</f>
        <v>0.56983634744695877</v>
      </c>
      <c r="J24" s="80">
        <f t="shared" si="9"/>
        <v>0.57757253734664926</v>
      </c>
      <c r="K24" s="80">
        <f t="shared" si="9"/>
        <v>0.57835473182853592</v>
      </c>
      <c r="L24" s="80">
        <f t="shared" si="9"/>
        <v>0.58253060405378287</v>
      </c>
      <c r="M24" s="80">
        <f t="shared" si="9"/>
        <v>0.58199999999999996</v>
      </c>
      <c r="N24" s="80">
        <f t="shared" si="9"/>
        <v>0.58199999999999996</v>
      </c>
      <c r="O24" s="80">
        <f t="shared" si="9"/>
        <v>0.58199999999999996</v>
      </c>
      <c r="P24" s="80">
        <f t="shared" si="9"/>
        <v>0.58199999999999996</v>
      </c>
      <c r="Q24" s="80">
        <f t="shared" si="9"/>
        <v>0.58199999999999996</v>
      </c>
      <c r="R24" s="80">
        <f t="shared" si="9"/>
        <v>0.58199999999999996</v>
      </c>
      <c r="S24" s="80">
        <f t="shared" si="9"/>
        <v>0.58199999999999996</v>
      </c>
    </row>
    <row r="25" spans="2:21" x14ac:dyDescent="0.2">
      <c r="D25" s="18" t="s">
        <v>139</v>
      </c>
      <c r="I25" s="41">
        <v>-9910</v>
      </c>
      <c r="J25" s="41">
        <v>-10912</v>
      </c>
      <c r="K25" s="41">
        <v>-11615</v>
      </c>
      <c r="L25" s="41">
        <v>-11955</v>
      </c>
      <c r="M25" s="37">
        <f t="shared" ref="M25:S25" si="10">+L25*(1+M11)</f>
        <v>-12463.0875</v>
      </c>
      <c r="N25" s="37">
        <f t="shared" si="10"/>
        <v>-12992.76871875</v>
      </c>
      <c r="O25" s="37">
        <f t="shared" si="10"/>
        <v>-13544.961389296874</v>
      </c>
      <c r="P25" s="37">
        <f t="shared" si="10"/>
        <v>-14120.62224834199</v>
      </c>
      <c r="Q25" s="37">
        <f t="shared" si="10"/>
        <v>-14720.748693896525</v>
      </c>
      <c r="R25" s="37">
        <f t="shared" si="10"/>
        <v>-15346.380513387126</v>
      </c>
      <c r="S25" s="37">
        <f t="shared" si="10"/>
        <v>-15998.601685206078</v>
      </c>
      <c r="T25" s="46">
        <f>+IFERROR((L25/I25)^(1/(L$20-I$20))-1,0)</f>
        <v>6.4531806498290267E-2</v>
      </c>
      <c r="U25" s="46">
        <f>+IFERROR((S25/L25)^(1/(S$20-L$20))-1,0)</f>
        <v>4.2499999999999982E-2</v>
      </c>
    </row>
    <row r="26" spans="2:21" x14ac:dyDescent="0.2">
      <c r="D26" s="54" t="s">
        <v>140</v>
      </c>
      <c r="I26" s="55">
        <f t="shared" ref="I26:S26" si="11">+I23+I25</f>
        <v>8649</v>
      </c>
      <c r="J26" s="55">
        <f t="shared" si="11"/>
        <v>9850</v>
      </c>
      <c r="K26" s="55">
        <f t="shared" si="11"/>
        <v>10728</v>
      </c>
      <c r="L26" s="55">
        <f t="shared" si="11"/>
        <v>11267</v>
      </c>
      <c r="M26" s="55">
        <f t="shared" si="11"/>
        <v>12013.807139999995</v>
      </c>
      <c r="N26" s="55">
        <f t="shared" si="11"/>
        <v>12830.355126449997</v>
      </c>
      <c r="O26" s="55">
        <f t="shared" si="11"/>
        <v>13698.434267389119</v>
      </c>
      <c r="P26" s="55">
        <f t="shared" si="11"/>
        <v>14621.160169461729</v>
      </c>
      <c r="Q26" s="55">
        <f t="shared" si="11"/>
        <v>15601.831756886399</v>
      </c>
      <c r="R26" s="55">
        <f t="shared" si="11"/>
        <v>16643.941862188854</v>
      </c>
      <c r="S26" s="55">
        <f t="shared" si="11"/>
        <v>17751.188421026578</v>
      </c>
      <c r="T26" s="78">
        <f>+IFERROR((L26/I26)^(1/(L$20-I$20))-1,0)</f>
        <v>9.2146250392488138E-2</v>
      </c>
      <c r="U26" s="78">
        <f>+IFERROR((S26/L26)^(1/(S$20-L$20))-1,0)</f>
        <v>6.709413817858656E-2</v>
      </c>
    </row>
    <row r="27" spans="2:21" x14ac:dyDescent="0.2">
      <c r="D27" s="79" t="s">
        <v>141</v>
      </c>
      <c r="I27" s="80">
        <f t="shared" ref="I27:S27" si="12">+IFERROR(I26/I$21,0)</f>
        <v>0.2655592741564064</v>
      </c>
      <c r="J27" s="80">
        <f t="shared" si="12"/>
        <v>0.27401452137869642</v>
      </c>
      <c r="K27" s="80">
        <f t="shared" si="12"/>
        <v>0.27769724580658522</v>
      </c>
      <c r="L27" s="80">
        <f t="shared" si="12"/>
        <v>0.28263596227172388</v>
      </c>
      <c r="M27" s="80">
        <f t="shared" si="12"/>
        <v>0.2856586122674914</v>
      </c>
      <c r="N27" s="80">
        <f t="shared" si="12"/>
        <v>0.28916976615057799</v>
      </c>
      <c r="O27" s="80">
        <f t="shared" si="12"/>
        <v>0.2926393186843389</v>
      </c>
      <c r="P27" s="80">
        <f t="shared" si="12"/>
        <v>0.29606776277575669</v>
      </c>
      <c r="Q27" s="80">
        <f t="shared" si="12"/>
        <v>0.29945558549168372</v>
      </c>
      <c r="R27" s="80">
        <f t="shared" si="12"/>
        <v>0.30280326812803815</v>
      </c>
      <c r="S27" s="80">
        <f t="shared" si="12"/>
        <v>0.30611128627817985</v>
      </c>
    </row>
    <row r="28" spans="2:21" x14ac:dyDescent="0.2">
      <c r="D28" s="18" t="s">
        <v>142</v>
      </c>
      <c r="I28" s="41">
        <v>-1621</v>
      </c>
      <c r="J28" s="41">
        <v>-1733</v>
      </c>
      <c r="K28" s="41">
        <v>-1802</v>
      </c>
      <c r="L28" s="41">
        <v>-1834</v>
      </c>
      <c r="M28" s="37">
        <f t="shared" ref="M28:S28" si="13">+L28*(1+M12)</f>
        <v>-1870.68</v>
      </c>
      <c r="N28" s="37">
        <f t="shared" si="13"/>
        <v>-1908.0936000000002</v>
      </c>
      <c r="O28" s="37">
        <f t="shared" si="13"/>
        <v>-1946.2554720000003</v>
      </c>
      <c r="P28" s="37">
        <f t="shared" si="13"/>
        <v>-1985.1805814400004</v>
      </c>
      <c r="Q28" s="37">
        <f t="shared" si="13"/>
        <v>-2024.8841930688004</v>
      </c>
      <c r="R28" s="37">
        <f t="shared" si="13"/>
        <v>-2065.3818769301765</v>
      </c>
      <c r="S28" s="37">
        <f t="shared" si="13"/>
        <v>-2106.6895144687801</v>
      </c>
      <c r="T28" s="46">
        <f>+IFERROR((L28/I28)^(1/(L$20-I$20))-1,0)</f>
        <v>4.2010524630774926E-2</v>
      </c>
      <c r="U28" s="46">
        <f>+IFERROR((S28/L28)^(1/(S$20-L$20))-1,0)</f>
        <v>2.0000000000000018E-2</v>
      </c>
    </row>
    <row r="29" spans="2:21" x14ac:dyDescent="0.2">
      <c r="D29" s="18" t="s">
        <v>143</v>
      </c>
      <c r="I29" s="41">
        <v>0</v>
      </c>
      <c r="J29" s="41">
        <v>0</v>
      </c>
      <c r="K29" s="41">
        <v>0</v>
      </c>
      <c r="L29" s="41">
        <v>0</v>
      </c>
      <c r="M29" s="41">
        <v>0</v>
      </c>
      <c r="N29" s="41">
        <v>0</v>
      </c>
      <c r="O29" s="41">
        <v>0</v>
      </c>
      <c r="P29" s="41">
        <v>0</v>
      </c>
      <c r="Q29" s="41">
        <v>0</v>
      </c>
      <c r="R29" s="41">
        <v>0</v>
      </c>
      <c r="S29" s="41">
        <v>0</v>
      </c>
    </row>
    <row r="30" spans="2:21" x14ac:dyDescent="0.2">
      <c r="D30" s="42" t="s">
        <v>144</v>
      </c>
      <c r="I30" s="43">
        <f t="shared" ref="I30:S30" si="14">+I26+I28+I29</f>
        <v>7028</v>
      </c>
      <c r="J30" s="43">
        <f t="shared" si="14"/>
        <v>8117</v>
      </c>
      <c r="K30" s="43">
        <f t="shared" si="14"/>
        <v>8926</v>
      </c>
      <c r="L30" s="43">
        <f t="shared" si="14"/>
        <v>9433</v>
      </c>
      <c r="M30" s="43">
        <f t="shared" si="14"/>
        <v>10143.127139999995</v>
      </c>
      <c r="N30" s="43">
        <f t="shared" si="14"/>
        <v>10922.261526449996</v>
      </c>
      <c r="O30" s="43">
        <f t="shared" si="14"/>
        <v>11752.178795389118</v>
      </c>
      <c r="P30" s="43">
        <f t="shared" si="14"/>
        <v>12635.979588021728</v>
      </c>
      <c r="Q30" s="43">
        <f t="shared" si="14"/>
        <v>13576.947563817597</v>
      </c>
      <c r="R30" s="43">
        <f t="shared" si="14"/>
        <v>14578.559985258678</v>
      </c>
      <c r="S30" s="43">
        <f t="shared" si="14"/>
        <v>15644.498906557797</v>
      </c>
      <c r="T30" s="49">
        <f>+IFERROR((L30/I30)^(1/(L$20-I$20))-1,0)</f>
        <v>0.10307750263849003</v>
      </c>
      <c r="U30" s="49">
        <f>+IFERROR((S30/L30)^(1/(S$20-L$20))-1,0)</f>
        <v>7.4947869430764147E-2</v>
      </c>
    </row>
    <row r="31" spans="2:21" x14ac:dyDescent="0.2">
      <c r="D31" s="79" t="s">
        <v>145</v>
      </c>
      <c r="I31" s="80">
        <f t="shared" ref="I31:S31" si="15">+IFERROR(I30/I$21,0)</f>
        <v>0.21578801928213945</v>
      </c>
      <c r="J31" s="80">
        <f t="shared" si="15"/>
        <v>0.22580465685592679</v>
      </c>
      <c r="K31" s="80">
        <f t="shared" si="15"/>
        <v>0.23105197763512114</v>
      </c>
      <c r="L31" s="80">
        <f t="shared" si="15"/>
        <v>0.23662954043748746</v>
      </c>
      <c r="M31" s="80">
        <f t="shared" si="15"/>
        <v>0.24117846983059929</v>
      </c>
      <c r="N31" s="80">
        <f t="shared" si="15"/>
        <v>0.24616526824950699</v>
      </c>
      <c r="O31" s="80">
        <f t="shared" si="15"/>
        <v>0.25106151028709489</v>
      </c>
      <c r="P31" s="80">
        <f t="shared" si="15"/>
        <v>0.25586931295093307</v>
      </c>
      <c r="Q31" s="80">
        <f t="shared" si="15"/>
        <v>0.26059073352834716</v>
      </c>
      <c r="R31" s="80">
        <f t="shared" si="15"/>
        <v>0.26522777144310611</v>
      </c>
      <c r="S31" s="80">
        <f t="shared" si="15"/>
        <v>0.26978237005198963</v>
      </c>
    </row>
    <row r="32" spans="2:21" x14ac:dyDescent="0.2">
      <c r="D32" s="18" t="s">
        <v>146</v>
      </c>
      <c r="I32" s="81">
        <f t="shared" ref="I32:S32" si="16">+I49</f>
        <v>-1417</v>
      </c>
      <c r="J32" s="81">
        <f t="shared" si="16"/>
        <v>-1558</v>
      </c>
      <c r="K32" s="81">
        <f t="shared" si="16"/>
        <v>-1638</v>
      </c>
      <c r="L32" s="81">
        <f t="shared" si="16"/>
        <v>-1674</v>
      </c>
      <c r="M32" s="81">
        <f t="shared" si="16"/>
        <v>-1387.1469520000001</v>
      </c>
      <c r="N32" s="81">
        <f t="shared" si="16"/>
        <v>-1611.85493836</v>
      </c>
      <c r="O32" s="81">
        <f t="shared" si="16"/>
        <v>-1848.9218639697999</v>
      </c>
      <c r="P32" s="81">
        <f t="shared" si="16"/>
        <v>-2099.027470488139</v>
      </c>
      <c r="Q32" s="81">
        <f t="shared" si="16"/>
        <v>-2362.8888853649864</v>
      </c>
      <c r="R32" s="81">
        <f t="shared" si="16"/>
        <v>-2641.2626780600604</v>
      </c>
      <c r="S32" s="81">
        <f t="shared" si="16"/>
        <v>-2934.9470293533641</v>
      </c>
      <c r="T32" s="46">
        <f>+IFERROR((L32/I32)^(1/(L$20-I$20))-1,0)</f>
        <v>5.7130332855993782E-2</v>
      </c>
      <c r="U32" s="46">
        <f>+IFERROR((S32/L32)^(1/(S$20-L$20))-1,0)</f>
        <v>8.3515113253993967E-2</v>
      </c>
    </row>
    <row r="33" spans="2:21" x14ac:dyDescent="0.2">
      <c r="D33" s="42" t="s">
        <v>147</v>
      </c>
      <c r="I33" s="43">
        <f t="shared" ref="I33:S33" si="17">+I30+I32</f>
        <v>5611</v>
      </c>
      <c r="J33" s="43">
        <f t="shared" si="17"/>
        <v>6559</v>
      </c>
      <c r="K33" s="43">
        <f t="shared" si="17"/>
        <v>7288</v>
      </c>
      <c r="L33" s="43">
        <f t="shared" si="17"/>
        <v>7759</v>
      </c>
      <c r="M33" s="43">
        <f t="shared" si="17"/>
        <v>8755.9801879999941</v>
      </c>
      <c r="N33" s="43">
        <f t="shared" si="17"/>
        <v>9310.4065880899961</v>
      </c>
      <c r="O33" s="43">
        <f t="shared" si="17"/>
        <v>9903.2569314193188</v>
      </c>
      <c r="P33" s="43">
        <f t="shared" si="17"/>
        <v>10536.952117533589</v>
      </c>
      <c r="Q33" s="43">
        <f t="shared" si="17"/>
        <v>11214.058678452611</v>
      </c>
      <c r="R33" s="43">
        <f t="shared" si="17"/>
        <v>11937.297307198618</v>
      </c>
      <c r="S33" s="43">
        <f t="shared" si="17"/>
        <v>12709.551877204434</v>
      </c>
      <c r="T33" s="49">
        <f>+IFERROR((L33/I33)^(1/(L$20-I$20))-1,0)</f>
        <v>0.11409398049443942</v>
      </c>
      <c r="U33" s="49">
        <f>+IFERROR((S33/L33)^(1/(S$20-L$20))-1,0)</f>
        <v>7.3044625715014799E-2</v>
      </c>
    </row>
    <row r="36" spans="2:21" ht="13.95" customHeight="1" x14ac:dyDescent="0.2">
      <c r="C36" s="14" t="s">
        <v>148</v>
      </c>
      <c r="D36" s="14"/>
      <c r="E36" s="14"/>
      <c r="F36" s="14"/>
      <c r="G36" s="14"/>
      <c r="H36" s="14"/>
      <c r="I36" s="69" t="s">
        <v>115</v>
      </c>
      <c r="J36" s="69" t="s">
        <v>115</v>
      </c>
      <c r="K36" s="69" t="s">
        <v>115</v>
      </c>
      <c r="L36" s="69" t="s">
        <v>115</v>
      </c>
      <c r="M36" s="69" t="s">
        <v>115</v>
      </c>
      <c r="N36" s="69" t="s">
        <v>115</v>
      </c>
      <c r="O36" s="69" t="s">
        <v>115</v>
      </c>
      <c r="P36" s="69" t="s">
        <v>115</v>
      </c>
      <c r="Q36" s="69" t="s">
        <v>115</v>
      </c>
      <c r="R36" s="69" t="s">
        <v>115</v>
      </c>
      <c r="S36" s="69" t="s">
        <v>115</v>
      </c>
      <c r="T36" s="14"/>
      <c r="U36" s="14"/>
    </row>
    <row r="37" spans="2:21" ht="13.95" customHeight="1" x14ac:dyDescent="0.2">
      <c r="C37" s="14" t="s">
        <v>49</v>
      </c>
      <c r="D37" s="14" t="s">
        <v>116</v>
      </c>
      <c r="E37" s="14"/>
      <c r="F37" s="14"/>
      <c r="G37" s="14"/>
      <c r="H37" s="14"/>
      <c r="I37" s="52">
        <v>2022</v>
      </c>
      <c r="J37" s="52">
        <f t="shared" ref="J37:S37" si="18">+I37+1</f>
        <v>2023</v>
      </c>
      <c r="K37" s="52">
        <f t="shared" si="18"/>
        <v>2024</v>
      </c>
      <c r="L37" s="52">
        <f t="shared" si="18"/>
        <v>2025</v>
      </c>
      <c r="M37" s="53">
        <f t="shared" si="18"/>
        <v>2026</v>
      </c>
      <c r="N37" s="53">
        <f t="shared" si="18"/>
        <v>2027</v>
      </c>
      <c r="O37" s="53">
        <f t="shared" si="18"/>
        <v>2028</v>
      </c>
      <c r="P37" s="53">
        <f t="shared" si="18"/>
        <v>2029</v>
      </c>
      <c r="Q37" s="53">
        <f t="shared" si="18"/>
        <v>2030</v>
      </c>
      <c r="R37" s="53">
        <f t="shared" si="18"/>
        <v>2031</v>
      </c>
      <c r="S37" s="53">
        <f t="shared" si="18"/>
        <v>2032</v>
      </c>
      <c r="T37" s="14"/>
      <c r="U37" s="14"/>
    </row>
    <row r="38" spans="2:21" x14ac:dyDescent="0.2">
      <c r="B38" s="9">
        <v>3</v>
      </c>
      <c r="D38" s="16" t="s">
        <v>149</v>
      </c>
    </row>
    <row r="39" spans="2:21" x14ac:dyDescent="0.2">
      <c r="D39" s="18" t="s">
        <v>150</v>
      </c>
      <c r="I39" s="41">
        <v>3191</v>
      </c>
      <c r="J39" s="41">
        <v>2966</v>
      </c>
      <c r="K39" s="41">
        <v>3321</v>
      </c>
      <c r="L39" s="41">
        <v>3249</v>
      </c>
      <c r="M39" s="37">
        <f t="shared" ref="M39:S41" si="19">+M$21*M15</f>
        <v>3427.6063799999997</v>
      </c>
      <c r="N39" s="37">
        <f t="shared" si="19"/>
        <v>3616.1247309</v>
      </c>
      <c r="O39" s="37">
        <f t="shared" si="19"/>
        <v>3815.0115910994996</v>
      </c>
      <c r="P39" s="37">
        <f t="shared" si="19"/>
        <v>4024.8372286099716</v>
      </c>
      <c r="Q39" s="37">
        <f t="shared" si="19"/>
        <v>4246.2032761835198</v>
      </c>
      <c r="R39" s="37">
        <f t="shared" si="19"/>
        <v>4479.7444563736126</v>
      </c>
      <c r="S39" s="37">
        <f t="shared" si="19"/>
        <v>4726.1304014741618</v>
      </c>
    </row>
    <row r="40" spans="2:21" x14ac:dyDescent="0.2">
      <c r="D40" s="18" t="s">
        <v>151</v>
      </c>
      <c r="I40" s="41">
        <v>851</v>
      </c>
      <c r="J40" s="41">
        <v>1038</v>
      </c>
      <c r="K40" s="41">
        <v>1088</v>
      </c>
      <c r="L40" s="41">
        <v>1166</v>
      </c>
      <c r="M40" s="37">
        <f t="shared" si="19"/>
        <v>1228.0503839999999</v>
      </c>
      <c r="N40" s="37">
        <f t="shared" si="19"/>
        <v>1295.5931551199999</v>
      </c>
      <c r="O40" s="37">
        <f t="shared" si="19"/>
        <v>1366.8507786515997</v>
      </c>
      <c r="P40" s="37">
        <f t="shared" si="19"/>
        <v>1442.0275714774377</v>
      </c>
      <c r="Q40" s="37">
        <f t="shared" si="19"/>
        <v>1521.3390879086967</v>
      </c>
      <c r="R40" s="37">
        <f t="shared" si="19"/>
        <v>1605.0127377436747</v>
      </c>
      <c r="S40" s="37">
        <f t="shared" si="19"/>
        <v>1693.2884383195767</v>
      </c>
    </row>
    <row r="41" spans="2:21" x14ac:dyDescent="0.2">
      <c r="D41" s="18" t="s">
        <v>152</v>
      </c>
      <c r="I41" s="41">
        <v>-6561</v>
      </c>
      <c r="J41" s="41">
        <v>-7467</v>
      </c>
      <c r="K41" s="41">
        <v>-8590</v>
      </c>
      <c r="L41" s="41">
        <v>-8587</v>
      </c>
      <c r="M41" s="37">
        <f t="shared" si="19"/>
        <v>-9058.974408</v>
      </c>
      <c r="N41" s="37">
        <f t="shared" si="19"/>
        <v>-9557.2180004399997</v>
      </c>
      <c r="O41" s="37">
        <f t="shared" si="19"/>
        <v>-10082.864990464199</v>
      </c>
      <c r="P41" s="37">
        <f t="shared" si="19"/>
        <v>-10637.422564939729</v>
      </c>
      <c r="Q41" s="37">
        <f t="shared" si="19"/>
        <v>-11222.480806011414</v>
      </c>
      <c r="R41" s="37">
        <f t="shared" si="19"/>
        <v>-11839.717250342041</v>
      </c>
      <c r="S41" s="37">
        <f t="shared" si="19"/>
        <v>-12490.901699110851</v>
      </c>
    </row>
    <row r="42" spans="2:21" x14ac:dyDescent="0.2">
      <c r="D42" s="54" t="s">
        <v>153</v>
      </c>
      <c r="I42" s="55">
        <f t="shared" ref="I42:S42" si="20">+SUM(I39:I41)</f>
        <v>-2519</v>
      </c>
      <c r="J42" s="55">
        <f t="shared" si="20"/>
        <v>-3463</v>
      </c>
      <c r="K42" s="55">
        <f t="shared" si="20"/>
        <v>-4181</v>
      </c>
      <c r="L42" s="55">
        <f t="shared" si="20"/>
        <v>-4172</v>
      </c>
      <c r="M42" s="55">
        <f t="shared" si="20"/>
        <v>-4403.3176440000007</v>
      </c>
      <c r="N42" s="55">
        <f t="shared" si="20"/>
        <v>-4645.5001144199996</v>
      </c>
      <c r="O42" s="55">
        <f t="shared" si="20"/>
        <v>-4901.0026207130995</v>
      </c>
      <c r="P42" s="55">
        <f t="shared" si="20"/>
        <v>-5170.5577648523195</v>
      </c>
      <c r="Q42" s="55">
        <f t="shared" si="20"/>
        <v>-5454.9384419191974</v>
      </c>
      <c r="R42" s="55">
        <f t="shared" si="20"/>
        <v>-5754.9600562247533</v>
      </c>
      <c r="S42" s="55">
        <f t="shared" si="20"/>
        <v>-6071.4828593171123</v>
      </c>
    </row>
    <row r="43" spans="2:21" x14ac:dyDescent="0.2">
      <c r="D43" s="79" t="s">
        <v>154</v>
      </c>
      <c r="I43" s="80">
        <f t="shared" ref="I43:S43" si="21">+IFERROR(I42/I$21,0)</f>
        <v>-7.7343486137124259E-2</v>
      </c>
      <c r="J43" s="80">
        <f t="shared" si="21"/>
        <v>-9.6336272846134594E-2</v>
      </c>
      <c r="K43" s="80">
        <f t="shared" si="21"/>
        <v>-0.10822634085732036</v>
      </c>
      <c r="L43" s="80">
        <f t="shared" si="21"/>
        <v>-0.10465582982139274</v>
      </c>
      <c r="M43" s="80">
        <f t="shared" si="21"/>
        <v>-0.10470000000000003</v>
      </c>
      <c r="N43" s="80">
        <f t="shared" si="21"/>
        <v>-0.1047</v>
      </c>
      <c r="O43" s="80">
        <f t="shared" si="21"/>
        <v>-0.1047</v>
      </c>
      <c r="P43" s="80">
        <f t="shared" si="21"/>
        <v>-0.1047</v>
      </c>
      <c r="Q43" s="80">
        <f t="shared" si="21"/>
        <v>-0.10470000000000002</v>
      </c>
      <c r="R43" s="80">
        <f t="shared" si="21"/>
        <v>-0.10470000000000003</v>
      </c>
      <c r="S43" s="80">
        <f t="shared" si="21"/>
        <v>-0.1047</v>
      </c>
    </row>
    <row r="44" spans="2:21" x14ac:dyDescent="0.2">
      <c r="D44" s="42" t="s">
        <v>155</v>
      </c>
      <c r="I44" s="82">
        <v>0</v>
      </c>
      <c r="J44" s="43">
        <f t="shared" ref="J44:S44" si="22">+(I42-J42)</f>
        <v>944</v>
      </c>
      <c r="K44" s="43">
        <f t="shared" si="22"/>
        <v>718</v>
      </c>
      <c r="L44" s="43">
        <f t="shared" si="22"/>
        <v>-9</v>
      </c>
      <c r="M44" s="43">
        <f t="shared" si="22"/>
        <v>231.31764400000066</v>
      </c>
      <c r="N44" s="43">
        <f t="shared" si="22"/>
        <v>242.18247041999894</v>
      </c>
      <c r="O44" s="43">
        <f t="shared" si="22"/>
        <v>255.50250629309994</v>
      </c>
      <c r="P44" s="43">
        <f t="shared" si="22"/>
        <v>269.55514413921992</v>
      </c>
      <c r="Q44" s="43">
        <f t="shared" si="22"/>
        <v>284.38067706687798</v>
      </c>
      <c r="R44" s="43">
        <f t="shared" si="22"/>
        <v>300.02161430555589</v>
      </c>
      <c r="S44" s="43">
        <f t="shared" si="22"/>
        <v>316.52280309235903</v>
      </c>
    </row>
    <row r="46" spans="2:21" x14ac:dyDescent="0.2">
      <c r="B46" s="9">
        <v>4</v>
      </c>
      <c r="D46" s="16" t="s">
        <v>156</v>
      </c>
    </row>
    <row r="47" spans="2:21" x14ac:dyDescent="0.2">
      <c r="D47" s="18" t="s">
        <v>157</v>
      </c>
      <c r="I47" s="41">
        <v>8383</v>
      </c>
      <c r="J47" s="37">
        <f t="shared" ref="J47:S47" si="23">+I50</f>
        <v>8401</v>
      </c>
      <c r="K47" s="37">
        <f t="shared" si="23"/>
        <v>9560</v>
      </c>
      <c r="L47" s="37">
        <f t="shared" si="23"/>
        <v>11416</v>
      </c>
      <c r="M47" s="37">
        <f t="shared" si="23"/>
        <v>12778</v>
      </c>
      <c r="N47" s="37">
        <f t="shared" si="23"/>
        <v>13577.792088000002</v>
      </c>
      <c r="O47" s="37">
        <f t="shared" si="23"/>
        <v>14273.157836840002</v>
      </c>
      <c r="P47" s="37">
        <f t="shared" si="23"/>
        <v>14858.353797866204</v>
      </c>
      <c r="Q47" s="37">
        <f t="shared" si="23"/>
        <v>15327.320632748842</v>
      </c>
      <c r="R47" s="37">
        <f t="shared" si="23"/>
        <v>15673.665739550028</v>
      </c>
      <c r="S47" s="37">
        <f t="shared" si="23"/>
        <v>15890.64492322528</v>
      </c>
    </row>
    <row r="48" spans="2:21" x14ac:dyDescent="0.2">
      <c r="D48" s="18" t="s">
        <v>158</v>
      </c>
      <c r="I48" s="81">
        <f t="shared" ref="I48:S48" si="24">+I54</f>
        <v>1415</v>
      </c>
      <c r="J48" s="81">
        <f t="shared" si="24"/>
        <v>1872</v>
      </c>
      <c r="K48" s="81">
        <f t="shared" si="24"/>
        <v>2672</v>
      </c>
      <c r="L48" s="81">
        <f t="shared" si="24"/>
        <v>2712</v>
      </c>
      <c r="M48" s="81">
        <f t="shared" si="24"/>
        <v>2186.9390400000002</v>
      </c>
      <c r="N48" s="81">
        <f t="shared" si="24"/>
        <v>2307.2206872000002</v>
      </c>
      <c r="O48" s="81">
        <f t="shared" si="24"/>
        <v>2434.1178249959999</v>
      </c>
      <c r="P48" s="81">
        <f t="shared" si="24"/>
        <v>2567.9943053707793</v>
      </c>
      <c r="Q48" s="81">
        <f t="shared" si="24"/>
        <v>2709.2339921661724</v>
      </c>
      <c r="R48" s="81">
        <f t="shared" si="24"/>
        <v>2858.2418617353114</v>
      </c>
      <c r="S48" s="81">
        <f t="shared" si="24"/>
        <v>3015.4451641307533</v>
      </c>
    </row>
    <row r="49" spans="4:19" x14ac:dyDescent="0.2">
      <c r="D49" s="18" t="s">
        <v>159</v>
      </c>
      <c r="I49" s="41">
        <v>-1417</v>
      </c>
      <c r="J49" s="41">
        <v>-1558</v>
      </c>
      <c r="K49" s="41">
        <v>-1638</v>
      </c>
      <c r="L49" s="41">
        <v>-1674</v>
      </c>
      <c r="M49" s="37">
        <f t="shared" ref="M49:S49" si="25">+M57+M69</f>
        <v>-1387.1469520000001</v>
      </c>
      <c r="N49" s="37">
        <f t="shared" si="25"/>
        <v>-1611.85493836</v>
      </c>
      <c r="O49" s="37">
        <f t="shared" si="25"/>
        <v>-1848.9218639697999</v>
      </c>
      <c r="P49" s="37">
        <f t="shared" si="25"/>
        <v>-2099.027470488139</v>
      </c>
      <c r="Q49" s="37">
        <f t="shared" si="25"/>
        <v>-2362.8888853649864</v>
      </c>
      <c r="R49" s="37">
        <f t="shared" si="25"/>
        <v>-2641.2626780600604</v>
      </c>
      <c r="S49" s="37">
        <f t="shared" si="25"/>
        <v>-2934.9470293533641</v>
      </c>
    </row>
    <row r="50" spans="4:19" x14ac:dyDescent="0.2">
      <c r="D50" s="42" t="s">
        <v>160</v>
      </c>
      <c r="I50" s="83">
        <v>8401</v>
      </c>
      <c r="J50" s="83">
        <v>9560</v>
      </c>
      <c r="K50" s="83">
        <v>11416</v>
      </c>
      <c r="L50" s="83">
        <v>12778</v>
      </c>
      <c r="M50" s="43">
        <f t="shared" ref="M50:S50" si="26">+M47+M48+M49</f>
        <v>13577.792088000002</v>
      </c>
      <c r="N50" s="43">
        <f t="shared" si="26"/>
        <v>14273.157836840002</v>
      </c>
      <c r="O50" s="43">
        <f t="shared" si="26"/>
        <v>14858.353797866204</v>
      </c>
      <c r="P50" s="43">
        <f t="shared" si="26"/>
        <v>15327.320632748842</v>
      </c>
      <c r="Q50" s="43">
        <f t="shared" si="26"/>
        <v>15673.665739550028</v>
      </c>
      <c r="R50" s="43">
        <f t="shared" si="26"/>
        <v>15890.64492322528</v>
      </c>
      <c r="S50" s="43">
        <f t="shared" si="26"/>
        <v>15971.143058002668</v>
      </c>
    </row>
    <row r="52" spans="4:19" x14ac:dyDescent="0.2">
      <c r="D52" s="18" t="s">
        <v>161</v>
      </c>
      <c r="I52" s="41">
        <v>1050</v>
      </c>
      <c r="J52" s="41">
        <v>1250</v>
      </c>
      <c r="K52" s="41">
        <v>1450</v>
      </c>
      <c r="L52" s="41">
        <v>1480</v>
      </c>
      <c r="M52" s="37">
        <f t="shared" ref="M52:S52" si="27">+M21*M13</f>
        <v>1471.9782</v>
      </c>
      <c r="N52" s="37">
        <f t="shared" si="27"/>
        <v>1552.937001</v>
      </c>
      <c r="O52" s="37">
        <f t="shared" si="27"/>
        <v>1638.3485360549998</v>
      </c>
      <c r="P52" s="37">
        <f t="shared" si="27"/>
        <v>1728.4577055380246</v>
      </c>
      <c r="Q52" s="37">
        <f t="shared" si="27"/>
        <v>1823.5228793426159</v>
      </c>
      <c r="R52" s="37">
        <f t="shared" si="27"/>
        <v>1923.8166377064597</v>
      </c>
      <c r="S52" s="37">
        <f t="shared" si="27"/>
        <v>2029.6265527803148</v>
      </c>
    </row>
    <row r="53" spans="4:19" x14ac:dyDescent="0.2">
      <c r="D53" s="18" t="s">
        <v>162</v>
      </c>
      <c r="I53" s="41">
        <v>365</v>
      </c>
      <c r="J53" s="41">
        <v>622</v>
      </c>
      <c r="K53" s="41">
        <v>1222</v>
      </c>
      <c r="L53" s="41">
        <v>1232</v>
      </c>
      <c r="M53" s="37">
        <f t="shared" ref="M53:S53" si="28">+M21*M14</f>
        <v>714.96083999999996</v>
      </c>
      <c r="N53" s="37">
        <f t="shared" si="28"/>
        <v>754.28368620000003</v>
      </c>
      <c r="O53" s="37">
        <f t="shared" si="28"/>
        <v>795.7692889409999</v>
      </c>
      <c r="P53" s="37">
        <f t="shared" si="28"/>
        <v>839.53659983275486</v>
      </c>
      <c r="Q53" s="37">
        <f t="shared" si="28"/>
        <v>885.71111282355628</v>
      </c>
      <c r="R53" s="37">
        <f t="shared" si="28"/>
        <v>934.42522402885186</v>
      </c>
      <c r="S53" s="37">
        <f t="shared" si="28"/>
        <v>985.81861135043857</v>
      </c>
    </row>
    <row r="54" spans="4:19" x14ac:dyDescent="0.2">
      <c r="D54" s="42" t="s">
        <v>163</v>
      </c>
      <c r="I54" s="43">
        <f t="shared" ref="I54:S54" si="29">+I52+I53</f>
        <v>1415</v>
      </c>
      <c r="J54" s="43">
        <f t="shared" si="29"/>
        <v>1872</v>
      </c>
      <c r="K54" s="43">
        <f t="shared" si="29"/>
        <v>2672</v>
      </c>
      <c r="L54" s="43">
        <f t="shared" si="29"/>
        <v>2712</v>
      </c>
      <c r="M54" s="43">
        <f t="shared" si="29"/>
        <v>2186.9390400000002</v>
      </c>
      <c r="N54" s="43">
        <f t="shared" si="29"/>
        <v>2307.2206872000002</v>
      </c>
      <c r="O54" s="43">
        <f t="shared" si="29"/>
        <v>2434.1178249959999</v>
      </c>
      <c r="P54" s="43">
        <f t="shared" si="29"/>
        <v>2567.9943053707793</v>
      </c>
      <c r="Q54" s="43">
        <f t="shared" si="29"/>
        <v>2709.2339921661724</v>
      </c>
      <c r="R54" s="43">
        <f t="shared" si="29"/>
        <v>2858.2418617353114</v>
      </c>
      <c r="S54" s="43">
        <f t="shared" si="29"/>
        <v>3015.4451641307533</v>
      </c>
    </row>
    <row r="56" spans="4:19" x14ac:dyDescent="0.2">
      <c r="D56" s="18" t="s">
        <v>164</v>
      </c>
      <c r="M56" s="1">
        <f t="shared" ref="M56:S56" si="30">+L58</f>
        <v>12778</v>
      </c>
      <c r="N56" s="1">
        <f t="shared" si="30"/>
        <v>11500.2</v>
      </c>
      <c r="O56" s="1">
        <f t="shared" si="30"/>
        <v>10222.400000000001</v>
      </c>
      <c r="P56" s="1">
        <f t="shared" si="30"/>
        <v>8944.6000000000022</v>
      </c>
      <c r="Q56" s="1">
        <f t="shared" si="30"/>
        <v>7666.800000000002</v>
      </c>
      <c r="R56" s="1">
        <f t="shared" si="30"/>
        <v>6389.0000000000018</v>
      </c>
      <c r="S56" s="1">
        <f t="shared" si="30"/>
        <v>5111.2000000000016</v>
      </c>
    </row>
    <row r="57" spans="4:19" x14ac:dyDescent="0.2">
      <c r="D57" s="18" t="s">
        <v>165</v>
      </c>
      <c r="M57" s="1">
        <f t="shared" ref="M57:S57" si="31">-MIN(M56,$L$58/$E$59)</f>
        <v>-1277.8</v>
      </c>
      <c r="N57" s="1">
        <f t="shared" si="31"/>
        <v>-1277.8</v>
      </c>
      <c r="O57" s="1">
        <f t="shared" si="31"/>
        <v>-1277.8</v>
      </c>
      <c r="P57" s="1">
        <f t="shared" si="31"/>
        <v>-1277.8</v>
      </c>
      <c r="Q57" s="1">
        <f t="shared" si="31"/>
        <v>-1277.8</v>
      </c>
      <c r="R57" s="1">
        <f t="shared" si="31"/>
        <v>-1277.8</v>
      </c>
      <c r="S57" s="1">
        <f t="shared" si="31"/>
        <v>-1277.8</v>
      </c>
    </row>
    <row r="58" spans="4:19" x14ac:dyDescent="0.2">
      <c r="D58" s="16" t="s">
        <v>166</v>
      </c>
      <c r="L58" s="38">
        <f>+L50</f>
        <v>12778</v>
      </c>
      <c r="M58" s="38">
        <f t="shared" ref="M58:S58" si="32">+M56+M57</f>
        <v>11500.2</v>
      </c>
      <c r="N58" s="38">
        <f t="shared" si="32"/>
        <v>10222.400000000001</v>
      </c>
      <c r="O58" s="38">
        <f t="shared" si="32"/>
        <v>8944.6000000000022</v>
      </c>
      <c r="P58" s="38">
        <f t="shared" si="32"/>
        <v>7666.800000000002</v>
      </c>
      <c r="Q58" s="38">
        <f t="shared" si="32"/>
        <v>6389.0000000000018</v>
      </c>
      <c r="R58" s="38">
        <f t="shared" si="32"/>
        <v>5111.2000000000016</v>
      </c>
      <c r="S58" s="38">
        <f t="shared" si="32"/>
        <v>3833.4000000000015</v>
      </c>
    </row>
    <row r="59" spans="4:19" x14ac:dyDescent="0.2">
      <c r="D59" s="18" t="s">
        <v>167</v>
      </c>
      <c r="E59" s="84">
        <v>10</v>
      </c>
    </row>
    <row r="60" spans="4:19" x14ac:dyDescent="0.2">
      <c r="D60" s="18" t="s">
        <v>168</v>
      </c>
      <c r="E60" s="85">
        <v>0.5</v>
      </c>
    </row>
    <row r="61" spans="4:19" x14ac:dyDescent="0.2">
      <c r="G61" s="16" t="s">
        <v>169</v>
      </c>
      <c r="H61" s="86" t="s">
        <v>170</v>
      </c>
    </row>
    <row r="62" spans="4:19" x14ac:dyDescent="0.2">
      <c r="G62" s="87">
        <f>+M$20</f>
        <v>2026</v>
      </c>
      <c r="H62" s="81">
        <f>+M$54</f>
        <v>2186.9390400000002</v>
      </c>
      <c r="M62" s="37">
        <f>-(($H62/$E$59*$E$60))</f>
        <v>-109.34695200000002</v>
      </c>
      <c r="N62" s="37">
        <f>-(MIN(SUM($H62,$M62:M62),$H62/$E$59))</f>
        <v>-218.69390400000003</v>
      </c>
      <c r="O62" s="37">
        <f>-(MIN(SUM($H62,$M62:N62),$H62/$E$59))</f>
        <v>-218.69390400000003</v>
      </c>
      <c r="P62" s="37">
        <f>-(MIN(SUM($H62,$M62:O62),$H62/$E$59))</f>
        <v>-218.69390400000003</v>
      </c>
      <c r="Q62" s="37">
        <f>-(MIN(SUM($H62,$M62:P62),$H62/$E$59))</f>
        <v>-218.69390400000003</v>
      </c>
      <c r="R62" s="37">
        <f>-(MIN(SUM($H62,$M62:Q62),$H62/$E$59))</f>
        <v>-218.69390400000003</v>
      </c>
      <c r="S62" s="37">
        <f>-(MIN(SUM($H62,$M62:R62),$H62/$E$59))</f>
        <v>-218.69390400000003</v>
      </c>
    </row>
    <row r="63" spans="4:19" x14ac:dyDescent="0.2">
      <c r="G63" s="87">
        <f>+N$20</f>
        <v>2027</v>
      </c>
      <c r="H63" s="81">
        <f>+N$54</f>
        <v>2307.2206872000002</v>
      </c>
      <c r="M63" s="37">
        <v>0</v>
      </c>
      <c r="N63" s="37">
        <f>-(($H63/$E$59*$E$60))</f>
        <v>-115.36103436</v>
      </c>
      <c r="O63" s="37">
        <f>-(MIN(SUM($H63,$N63:N63),$H63/$E$59))</f>
        <v>-230.72206872000001</v>
      </c>
      <c r="P63" s="37">
        <f>-(MIN(SUM($H63,$N63:O63),$H63/$E$59))</f>
        <v>-230.72206872000001</v>
      </c>
      <c r="Q63" s="37">
        <f>-(MIN(SUM($H63,$N63:P63),$H63/$E$59))</f>
        <v>-230.72206872000001</v>
      </c>
      <c r="R63" s="37">
        <f>-(MIN(SUM($H63,$N63:Q63),$H63/$E$59))</f>
        <v>-230.72206872000001</v>
      </c>
      <c r="S63" s="37">
        <f>-(MIN(SUM($H63,$N63:R63),$H63/$E$59))</f>
        <v>-230.72206872000001</v>
      </c>
    </row>
    <row r="64" spans="4:19" x14ac:dyDescent="0.2">
      <c r="G64" s="87">
        <f>+O$20</f>
        <v>2028</v>
      </c>
      <c r="H64" s="81">
        <f>+O$54</f>
        <v>2434.1178249959999</v>
      </c>
      <c r="M64" s="37">
        <v>0</v>
      </c>
      <c r="N64" s="37">
        <v>0</v>
      </c>
      <c r="O64" s="37">
        <f>-(($H64/$E$59*$E$60))</f>
        <v>-121.70589124979999</v>
      </c>
      <c r="P64" s="37">
        <f>-(MIN(SUM($H64,$O64:O64),$H64/$E$59))</f>
        <v>-243.41178249959998</v>
      </c>
      <c r="Q64" s="37">
        <f>-(MIN(SUM($H64,$O64:P64),$H64/$E$59))</f>
        <v>-243.41178249959998</v>
      </c>
      <c r="R64" s="37">
        <f>-(MIN(SUM($H64,$O64:Q64),$H64/$E$59))</f>
        <v>-243.41178249959998</v>
      </c>
      <c r="S64" s="37">
        <f>-(MIN(SUM($H64,$O64:R64),$H64/$E$59))</f>
        <v>-243.41178249959998</v>
      </c>
    </row>
    <row r="65" spans="7:19" x14ac:dyDescent="0.2">
      <c r="G65" s="87">
        <f>+P$20</f>
        <v>2029</v>
      </c>
      <c r="H65" s="81">
        <f>+P$54</f>
        <v>2567.9943053707793</v>
      </c>
      <c r="M65" s="37">
        <v>0</v>
      </c>
      <c r="N65" s="37">
        <v>0</v>
      </c>
      <c r="O65" s="37">
        <v>0</v>
      </c>
      <c r="P65" s="37">
        <f>-(($H65/$E$59*$E$60))</f>
        <v>-128.39971526853896</v>
      </c>
      <c r="Q65" s="37">
        <f>-(MIN(SUM($H65,$P65:P65),$H65/$E$59))</f>
        <v>-256.79943053707791</v>
      </c>
      <c r="R65" s="37">
        <f>-(MIN(SUM($H65,$P65:Q65),$H65/$E$59))</f>
        <v>-256.79943053707791</v>
      </c>
      <c r="S65" s="37">
        <f>-(MIN(SUM($H65,$P65:R65),$H65/$E$59))</f>
        <v>-256.79943053707791</v>
      </c>
    </row>
    <row r="66" spans="7:19" x14ac:dyDescent="0.2">
      <c r="G66" s="87">
        <f>+Q$20</f>
        <v>2030</v>
      </c>
      <c r="H66" s="81">
        <f>+Q$54</f>
        <v>2709.2339921661724</v>
      </c>
      <c r="M66" s="37">
        <v>0</v>
      </c>
      <c r="N66" s="37">
        <v>0</v>
      </c>
      <c r="O66" s="37">
        <v>0</v>
      </c>
      <c r="P66" s="37">
        <v>0</v>
      </c>
      <c r="Q66" s="37">
        <f>-(($H66/$E$59*$E$60))</f>
        <v>-135.46169960830861</v>
      </c>
      <c r="R66" s="37">
        <f>-(MIN(SUM($H66,$Q66:Q66),$H66/$E$59))</f>
        <v>-270.92339921661721</v>
      </c>
      <c r="S66" s="37">
        <f>-(MIN(SUM($H66,$Q66:R66),$H66/$E$59))</f>
        <v>-270.92339921661721</v>
      </c>
    </row>
    <row r="67" spans="7:19" x14ac:dyDescent="0.2">
      <c r="G67" s="87">
        <f>+R$20</f>
        <v>2031</v>
      </c>
      <c r="H67" s="81">
        <f>+R$54</f>
        <v>2858.2418617353114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f>-(($H67/$E$59*$E$60))</f>
        <v>-142.91209308676557</v>
      </c>
      <c r="S67" s="37">
        <f>-(MIN(SUM($H67,$R67:R67),$H67/$E$59))</f>
        <v>-285.82418617353113</v>
      </c>
    </row>
    <row r="68" spans="7:19" x14ac:dyDescent="0.2">
      <c r="G68" s="87">
        <f>+S$20</f>
        <v>2032</v>
      </c>
      <c r="H68" s="81">
        <f>+S$54</f>
        <v>3015.4451641307533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f>-(($H68/$E$59*$E$60))</f>
        <v>-150.77225820653766</v>
      </c>
    </row>
    <row r="69" spans="7:19" x14ac:dyDescent="0.2">
      <c r="G69" s="54" t="s">
        <v>171</v>
      </c>
      <c r="H69" s="54"/>
      <c r="I69" s="54"/>
      <c r="J69" s="54"/>
      <c r="K69" s="54"/>
      <c r="L69" s="54"/>
      <c r="M69" s="55">
        <f t="shared" ref="M69:S69" si="33">SUM(M62:M68)</f>
        <v>-109.34695200000002</v>
      </c>
      <c r="N69" s="55">
        <f t="shared" si="33"/>
        <v>-334.05493836000005</v>
      </c>
      <c r="O69" s="55">
        <f t="shared" si="33"/>
        <v>-571.12186396979996</v>
      </c>
      <c r="P69" s="55">
        <f t="shared" si="33"/>
        <v>-821.22747048813903</v>
      </c>
      <c r="Q69" s="55">
        <f t="shared" si="33"/>
        <v>-1085.0888853649865</v>
      </c>
      <c r="R69" s="55">
        <f t="shared" si="33"/>
        <v>-1363.4626780600606</v>
      </c>
      <c r="S69" s="55">
        <f t="shared" si="33"/>
        <v>-1657.1470293533639</v>
      </c>
    </row>
  </sheetData>
  <dataValidations count="1">
    <dataValidation type="list" sqref="F8" xr:uid="{00000000-0002-0000-0200-000000000000}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9"/>
  <sheetViews>
    <sheetView showGridLines="0" workbookViewId="0"/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0" customWidth="1"/>
    <col min="5" max="13" width="12" customWidth="1"/>
  </cols>
  <sheetData>
    <row r="1" spans="1:13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5" t="s">
        <v>1</v>
      </c>
    </row>
    <row r="2" spans="1:13" ht="16.05" customHeight="1" x14ac:dyDescent="0.25">
      <c r="A2" s="6" t="s">
        <v>2</v>
      </c>
      <c r="B2" s="6" t="s">
        <v>172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16.05" customHeight="1" x14ac:dyDescent="0.2">
      <c r="A4" s="12" t="s">
        <v>4</v>
      </c>
      <c r="B4" s="12" t="s">
        <v>4</v>
      </c>
      <c r="C4" s="13" t="s">
        <v>173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 x14ac:dyDescent="0.2">
      <c r="B6" s="9">
        <v>4</v>
      </c>
      <c r="D6" s="14" t="s">
        <v>174</v>
      </c>
      <c r="E6" s="15" t="s">
        <v>175</v>
      </c>
      <c r="F6" s="15" t="s">
        <v>51</v>
      </c>
      <c r="G6" s="15" t="s">
        <v>176</v>
      </c>
      <c r="H6" s="69" t="s">
        <v>177</v>
      </c>
      <c r="I6" s="15" t="s">
        <v>178</v>
      </c>
      <c r="J6" s="15" t="s">
        <v>38</v>
      </c>
      <c r="K6" s="14"/>
      <c r="L6" s="14"/>
      <c r="M6" s="15" t="s">
        <v>179</v>
      </c>
    </row>
    <row r="7" spans="1:13" x14ac:dyDescent="0.2">
      <c r="D7" s="16" t="s">
        <v>180</v>
      </c>
      <c r="E7" s="50">
        <f>+(J8*E8+J9*E9+J10*E10+J11*E11)/J7</f>
        <v>5.909090909090909E-2</v>
      </c>
      <c r="F7" s="88">
        <v>2.75E-2</v>
      </c>
      <c r="J7" s="38">
        <f>+SUM(J8:J11)</f>
        <v>51881.5</v>
      </c>
      <c r="M7" s="89">
        <f>+(J8*M8+J9*M9+J10*M10+J11*M11)/J7</f>
        <v>6.2272727272727275</v>
      </c>
    </row>
    <row r="8" spans="1:13" x14ac:dyDescent="0.2">
      <c r="D8" s="18" t="s">
        <v>42</v>
      </c>
      <c r="E8" s="50">
        <f>+$F$7+G8</f>
        <v>0.05</v>
      </c>
      <c r="F8" s="90">
        <v>1.5</v>
      </c>
      <c r="G8" s="40">
        <v>2.2499999999999999E-2</v>
      </c>
      <c r="H8" s="91">
        <v>0</v>
      </c>
      <c r="I8" s="84">
        <v>5</v>
      </c>
      <c r="J8" s="1">
        <f>'LBO Summary'!F25</f>
        <v>14149.5</v>
      </c>
      <c r="M8" s="89">
        <f>+F25*1+G25*2+H25*3+I25*4+J25*5+K25*6+L25*7</f>
        <v>3.5</v>
      </c>
    </row>
    <row r="9" spans="1:13" x14ac:dyDescent="0.2">
      <c r="D9" s="18" t="s">
        <v>43</v>
      </c>
      <c r="E9" s="50">
        <f>+$F$7+G9</f>
        <v>0.06</v>
      </c>
      <c r="F9" s="90">
        <v>2.5</v>
      </c>
      <c r="G9" s="40">
        <v>3.2500000000000001E-2</v>
      </c>
      <c r="H9" s="91">
        <v>0</v>
      </c>
      <c r="I9" s="84">
        <v>7</v>
      </c>
      <c r="J9" s="1">
        <f>'LBO Summary'!F26</f>
        <v>23582.5</v>
      </c>
      <c r="M9" s="89">
        <f>+I9</f>
        <v>7</v>
      </c>
    </row>
    <row r="10" spans="1:13" x14ac:dyDescent="0.2">
      <c r="D10" s="18" t="s">
        <v>181</v>
      </c>
      <c r="E10" s="50">
        <f>+$F$7+G10</f>
        <v>7.4999999999999997E-2</v>
      </c>
      <c r="F10" s="90">
        <v>1</v>
      </c>
      <c r="G10" s="40">
        <v>4.7500000000000001E-2</v>
      </c>
      <c r="H10" s="92">
        <v>0</v>
      </c>
      <c r="I10" s="84">
        <v>7.5</v>
      </c>
      <c r="J10" s="1">
        <f>'LBO Summary'!F27</f>
        <v>9433</v>
      </c>
      <c r="M10" s="89">
        <f>+I10</f>
        <v>7.5</v>
      </c>
    </row>
    <row r="11" spans="1:13" x14ac:dyDescent="0.2">
      <c r="D11" s="18" t="s">
        <v>182</v>
      </c>
      <c r="E11" s="50">
        <f>+G11</f>
        <v>0.05</v>
      </c>
      <c r="F11" s="90">
        <v>0.5</v>
      </c>
      <c r="G11" s="40">
        <v>0.05</v>
      </c>
      <c r="H11" s="92">
        <v>0</v>
      </c>
      <c r="I11" s="84">
        <v>8</v>
      </c>
      <c r="J11" s="1">
        <f>'LBO Summary'!F28</f>
        <v>4716.5</v>
      </c>
      <c r="M11" s="89">
        <f>+I11</f>
        <v>8</v>
      </c>
    </row>
    <row r="12" spans="1:13" x14ac:dyDescent="0.2">
      <c r="D12" s="18" t="s">
        <v>183</v>
      </c>
      <c r="E12" s="85">
        <v>0</v>
      </c>
    </row>
    <row r="13" spans="1:13" x14ac:dyDescent="0.2">
      <c r="D13" s="16" t="s">
        <v>184</v>
      </c>
      <c r="E13" s="93">
        <v>0</v>
      </c>
    </row>
    <row r="14" spans="1:13" x14ac:dyDescent="0.2">
      <c r="D14" s="16" t="s">
        <v>185</v>
      </c>
      <c r="E14" s="94">
        <v>3500</v>
      </c>
      <c r="G14" s="40">
        <v>0.02</v>
      </c>
    </row>
    <row r="15" spans="1:13" x14ac:dyDescent="0.2">
      <c r="D15" s="18" t="s">
        <v>186</v>
      </c>
      <c r="E15" s="50">
        <f>+$F$7+G14</f>
        <v>4.7500000000000001E-2</v>
      </c>
      <c r="G15" s="88">
        <v>7.4999999999999997E-3</v>
      </c>
    </row>
    <row r="16" spans="1:13" x14ac:dyDescent="0.2">
      <c r="D16" s="16" t="s">
        <v>187</v>
      </c>
      <c r="E16" s="93">
        <v>0.25</v>
      </c>
      <c r="G16" s="95">
        <v>1.25</v>
      </c>
    </row>
    <row r="18" spans="3:13" ht="13.95" customHeight="1" x14ac:dyDescent="0.2">
      <c r="C18" s="14" t="s">
        <v>188</v>
      </c>
      <c r="D18" s="14"/>
      <c r="E18" s="69" t="s">
        <v>115</v>
      </c>
      <c r="F18" s="69" t="s">
        <v>115</v>
      </c>
      <c r="G18" s="69" t="s">
        <v>115</v>
      </c>
      <c r="H18" s="69" t="s">
        <v>115</v>
      </c>
      <c r="I18" s="69" t="s">
        <v>115</v>
      </c>
      <c r="J18" s="69" t="s">
        <v>115</v>
      </c>
      <c r="K18" s="69" t="s">
        <v>115</v>
      </c>
      <c r="L18" s="69" t="s">
        <v>115</v>
      </c>
      <c r="M18" s="14"/>
    </row>
    <row r="19" spans="3:13" ht="13.95" customHeight="1" x14ac:dyDescent="0.2">
      <c r="C19" s="14" t="s">
        <v>49</v>
      </c>
      <c r="D19" s="14" t="s">
        <v>189</v>
      </c>
      <c r="E19" s="52">
        <v>2025</v>
      </c>
      <c r="F19" s="53">
        <f t="shared" ref="F19:L19" si="0">+E19+1</f>
        <v>2026</v>
      </c>
      <c r="G19" s="53">
        <f t="shared" si="0"/>
        <v>2027</v>
      </c>
      <c r="H19" s="53">
        <f t="shared" si="0"/>
        <v>2028</v>
      </c>
      <c r="I19" s="53">
        <f t="shared" si="0"/>
        <v>2029</v>
      </c>
      <c r="J19" s="53">
        <f t="shared" si="0"/>
        <v>2030</v>
      </c>
      <c r="K19" s="53">
        <f t="shared" si="0"/>
        <v>2031</v>
      </c>
      <c r="L19" s="53">
        <f t="shared" si="0"/>
        <v>2032</v>
      </c>
      <c r="M19" s="14"/>
    </row>
    <row r="20" spans="3:13" x14ac:dyDescent="0.2">
      <c r="D20" s="16" t="s">
        <v>190</v>
      </c>
    </row>
    <row r="21" spans="3:13" x14ac:dyDescent="0.2">
      <c r="D21" s="18" t="s">
        <v>191</v>
      </c>
      <c r="E21" s="1">
        <v>0</v>
      </c>
      <c r="F21" s="1">
        <f t="shared" ref="F21:L21" si="1">+E24</f>
        <v>14149.5</v>
      </c>
      <c r="G21" s="1">
        <f t="shared" si="1"/>
        <v>12734.55</v>
      </c>
      <c r="H21" s="1">
        <f t="shared" si="1"/>
        <v>10612.125</v>
      </c>
      <c r="I21" s="1">
        <f t="shared" si="1"/>
        <v>7782.2250000000004</v>
      </c>
      <c r="J21" s="1">
        <f t="shared" si="1"/>
        <v>4244.8500000000004</v>
      </c>
      <c r="K21" s="1">
        <f t="shared" si="1"/>
        <v>0</v>
      </c>
      <c r="L21" s="1">
        <f t="shared" si="1"/>
        <v>0</v>
      </c>
    </row>
    <row r="22" spans="3:13" x14ac:dyDescent="0.2">
      <c r="D22" s="18" t="s">
        <v>192</v>
      </c>
      <c r="E22" s="81">
        <f>+J8</f>
        <v>14149.5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3:13" x14ac:dyDescent="0.2">
      <c r="D23" s="18" t="s">
        <v>193</v>
      </c>
      <c r="E23" s="1">
        <v>0</v>
      </c>
      <c r="F23" s="1">
        <f t="shared" ref="F23:L23" si="2">-MIN(F21,$E$24*F$25)</f>
        <v>-1414.95</v>
      </c>
      <c r="G23" s="1">
        <f t="shared" si="2"/>
        <v>-2122.4249999999997</v>
      </c>
      <c r="H23" s="1">
        <f t="shared" si="2"/>
        <v>-2829.9</v>
      </c>
      <c r="I23" s="1">
        <f t="shared" si="2"/>
        <v>-3537.375</v>
      </c>
      <c r="J23" s="1">
        <f t="shared" si="2"/>
        <v>-4244.8500000000004</v>
      </c>
      <c r="K23" s="1">
        <f t="shared" si="2"/>
        <v>0</v>
      </c>
      <c r="L23" s="1">
        <f t="shared" si="2"/>
        <v>0</v>
      </c>
    </row>
    <row r="24" spans="3:13" x14ac:dyDescent="0.2">
      <c r="D24" s="54" t="s">
        <v>194</v>
      </c>
      <c r="E24" s="55">
        <f t="shared" ref="E24:L24" si="3">+SUM(E21:E23)</f>
        <v>14149.5</v>
      </c>
      <c r="F24" s="55">
        <f t="shared" si="3"/>
        <v>12734.55</v>
      </c>
      <c r="G24" s="55">
        <f t="shared" si="3"/>
        <v>10612.125</v>
      </c>
      <c r="H24" s="55">
        <f t="shared" si="3"/>
        <v>7782.2250000000004</v>
      </c>
      <c r="I24" s="55">
        <f t="shared" si="3"/>
        <v>4244.8500000000004</v>
      </c>
      <c r="J24" s="55">
        <f t="shared" si="3"/>
        <v>0</v>
      </c>
      <c r="K24" s="55">
        <f t="shared" si="3"/>
        <v>0</v>
      </c>
      <c r="L24" s="55">
        <f t="shared" si="3"/>
        <v>0</v>
      </c>
    </row>
    <row r="25" spans="3:13" x14ac:dyDescent="0.2">
      <c r="D25" s="79" t="s">
        <v>195</v>
      </c>
      <c r="F25" s="96">
        <v>0.1</v>
      </c>
      <c r="G25" s="96">
        <v>0.15</v>
      </c>
      <c r="H25" s="96">
        <v>0.2</v>
      </c>
      <c r="I25" s="96">
        <v>0.25</v>
      </c>
      <c r="J25" s="97">
        <f>1-SUM(F25:I25)</f>
        <v>0.30000000000000004</v>
      </c>
      <c r="K25" s="96">
        <v>0</v>
      </c>
      <c r="L25" s="96">
        <v>0</v>
      </c>
      <c r="M25" s="2">
        <f>+SUM(F25:L25)-1</f>
        <v>0</v>
      </c>
    </row>
    <row r="26" spans="3:13" x14ac:dyDescent="0.2">
      <c r="D26" s="18" t="s">
        <v>196</v>
      </c>
      <c r="F26" s="1">
        <f t="shared" ref="F26:L26" si="4">-$E$8*AVERAGE(F21,F24)</f>
        <v>-672.10125000000005</v>
      </c>
      <c r="G26" s="1">
        <f t="shared" si="4"/>
        <v>-583.666875</v>
      </c>
      <c r="H26" s="1">
        <f t="shared" si="4"/>
        <v>-459.85874999999999</v>
      </c>
      <c r="I26" s="1">
        <f t="shared" si="4"/>
        <v>-300.67687500000005</v>
      </c>
      <c r="J26" s="1">
        <f t="shared" si="4"/>
        <v>-106.12125000000002</v>
      </c>
      <c r="K26" s="1">
        <f t="shared" si="4"/>
        <v>0</v>
      </c>
      <c r="L26" s="1">
        <f t="shared" si="4"/>
        <v>0</v>
      </c>
    </row>
    <row r="28" spans="3:13" x14ac:dyDescent="0.2">
      <c r="D28" s="16" t="s">
        <v>43</v>
      </c>
    </row>
    <row r="29" spans="3:13" x14ac:dyDescent="0.2">
      <c r="D29" s="18" t="s">
        <v>197</v>
      </c>
      <c r="E29" s="1">
        <v>0</v>
      </c>
      <c r="F29" s="1">
        <f t="shared" ref="F29:L29" si="5">+E34</f>
        <v>23582.5</v>
      </c>
      <c r="G29" s="1">
        <f t="shared" si="5"/>
        <v>23582.5</v>
      </c>
      <c r="H29" s="1">
        <f t="shared" si="5"/>
        <v>23582.5</v>
      </c>
      <c r="I29" s="1">
        <f t="shared" si="5"/>
        <v>23582.5</v>
      </c>
      <c r="J29" s="1">
        <f t="shared" si="5"/>
        <v>23582.5</v>
      </c>
      <c r="K29" s="1">
        <f t="shared" si="5"/>
        <v>23582.5</v>
      </c>
      <c r="L29" s="1">
        <f t="shared" si="5"/>
        <v>23582.5</v>
      </c>
    </row>
    <row r="30" spans="3:13" x14ac:dyDescent="0.2">
      <c r="D30" s="18" t="s">
        <v>192</v>
      </c>
      <c r="E30" s="81">
        <f>+J9</f>
        <v>23582.5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3:13" x14ac:dyDescent="0.2">
      <c r="D31" s="18" t="s">
        <v>198</v>
      </c>
      <c r="E31" s="1">
        <v>0</v>
      </c>
      <c r="F31" s="1">
        <f t="shared" ref="F31:L31" si="6">-MIN(F29,$E$34*F$35)</f>
        <v>0</v>
      </c>
      <c r="G31" s="1">
        <f t="shared" si="6"/>
        <v>0</v>
      </c>
      <c r="H31" s="1">
        <f t="shared" si="6"/>
        <v>0</v>
      </c>
      <c r="I31" s="1">
        <f t="shared" si="6"/>
        <v>0</v>
      </c>
      <c r="J31" s="1">
        <f t="shared" si="6"/>
        <v>0</v>
      </c>
      <c r="K31" s="1">
        <f t="shared" si="6"/>
        <v>0</v>
      </c>
      <c r="L31" s="1">
        <f t="shared" si="6"/>
        <v>0</v>
      </c>
    </row>
    <row r="32" spans="3:13" x14ac:dyDescent="0.2">
      <c r="D32" s="79" t="s">
        <v>199</v>
      </c>
      <c r="E32" s="1">
        <f t="shared" ref="E32:L32" si="7">+SUM(E29:E31)</f>
        <v>23582.5</v>
      </c>
      <c r="F32" s="98">
        <f t="shared" si="7"/>
        <v>23582.5</v>
      </c>
      <c r="G32" s="98">
        <f t="shared" si="7"/>
        <v>23582.5</v>
      </c>
      <c r="H32" s="98">
        <f t="shared" si="7"/>
        <v>23582.5</v>
      </c>
      <c r="I32" s="98">
        <f t="shared" si="7"/>
        <v>23582.5</v>
      </c>
      <c r="J32" s="98">
        <f t="shared" si="7"/>
        <v>23582.5</v>
      </c>
      <c r="K32" s="98">
        <f t="shared" si="7"/>
        <v>23582.5</v>
      </c>
      <c r="L32" s="98">
        <f t="shared" si="7"/>
        <v>23582.5</v>
      </c>
    </row>
    <row r="33" spans="4:12" x14ac:dyDescent="0.2">
      <c r="D33" s="18" t="s">
        <v>200</v>
      </c>
      <c r="E33" s="1">
        <v>0</v>
      </c>
      <c r="F33" s="1">
        <f t="shared" ref="F33:L33" si="8">-MIN(F32,MAX(0,F87+F88)*$E$13)</f>
        <v>0</v>
      </c>
      <c r="G33" s="1">
        <f t="shared" si="8"/>
        <v>0</v>
      </c>
      <c r="H33" s="1">
        <f t="shared" si="8"/>
        <v>0</v>
      </c>
      <c r="I33" s="1">
        <f t="shared" si="8"/>
        <v>0</v>
      </c>
      <c r="J33" s="1">
        <f t="shared" si="8"/>
        <v>0</v>
      </c>
      <c r="K33" s="1">
        <f t="shared" si="8"/>
        <v>0</v>
      </c>
      <c r="L33" s="1">
        <f t="shared" si="8"/>
        <v>0</v>
      </c>
    </row>
    <row r="34" spans="4:12" x14ac:dyDescent="0.2">
      <c r="D34" s="54" t="s">
        <v>201</v>
      </c>
      <c r="E34" s="55">
        <f t="shared" ref="E34:L34" si="9">+E32+E33</f>
        <v>23582.5</v>
      </c>
      <c r="F34" s="55">
        <f t="shared" si="9"/>
        <v>23582.5</v>
      </c>
      <c r="G34" s="55">
        <f t="shared" si="9"/>
        <v>23582.5</v>
      </c>
      <c r="H34" s="55">
        <f t="shared" si="9"/>
        <v>23582.5</v>
      </c>
      <c r="I34" s="55">
        <f t="shared" si="9"/>
        <v>23582.5</v>
      </c>
      <c r="J34" s="55">
        <f t="shared" si="9"/>
        <v>23582.5</v>
      </c>
      <c r="K34" s="55">
        <f t="shared" si="9"/>
        <v>23582.5</v>
      </c>
      <c r="L34" s="55">
        <f t="shared" si="9"/>
        <v>23582.5</v>
      </c>
    </row>
    <row r="35" spans="4:12" x14ac:dyDescent="0.2">
      <c r="D35" s="79" t="s">
        <v>202</v>
      </c>
      <c r="F35" s="2">
        <f t="shared" ref="F35:L35" si="10">+$E$12</f>
        <v>0</v>
      </c>
      <c r="G35" s="2">
        <f t="shared" si="10"/>
        <v>0</v>
      </c>
      <c r="H35" s="2">
        <f t="shared" si="10"/>
        <v>0</v>
      </c>
      <c r="I35" s="2">
        <f t="shared" si="10"/>
        <v>0</v>
      </c>
      <c r="J35" s="2">
        <f t="shared" si="10"/>
        <v>0</v>
      </c>
      <c r="K35" s="2">
        <f t="shared" si="10"/>
        <v>0</v>
      </c>
      <c r="L35" s="2">
        <f t="shared" si="10"/>
        <v>0</v>
      </c>
    </row>
    <row r="36" spans="4:12" x14ac:dyDescent="0.2">
      <c r="D36" s="18" t="s">
        <v>203</v>
      </c>
      <c r="F36" s="1">
        <f t="shared" ref="F36:L36" si="11">-$E$9*AVERAGE(F29,F32)</f>
        <v>-1414.95</v>
      </c>
      <c r="G36" s="1">
        <f t="shared" si="11"/>
        <v>-1414.95</v>
      </c>
      <c r="H36" s="1">
        <f t="shared" si="11"/>
        <v>-1414.95</v>
      </c>
      <c r="I36" s="1">
        <f t="shared" si="11"/>
        <v>-1414.95</v>
      </c>
      <c r="J36" s="1">
        <f t="shared" si="11"/>
        <v>-1414.95</v>
      </c>
      <c r="K36" s="1">
        <f t="shared" si="11"/>
        <v>-1414.95</v>
      </c>
      <c r="L36" s="1">
        <f t="shared" si="11"/>
        <v>-1414.95</v>
      </c>
    </row>
    <row r="38" spans="4:12" x14ac:dyDescent="0.2">
      <c r="D38" s="16" t="s">
        <v>204</v>
      </c>
    </row>
    <row r="39" spans="4:12" x14ac:dyDescent="0.2">
      <c r="D39" s="18" t="s">
        <v>205</v>
      </c>
      <c r="E39" s="1">
        <v>0</v>
      </c>
      <c r="F39" s="1">
        <f t="shared" ref="F39:L39" si="12">+E43</f>
        <v>9433</v>
      </c>
      <c r="G39" s="1">
        <f t="shared" si="12"/>
        <v>9433</v>
      </c>
      <c r="H39" s="1">
        <f t="shared" si="12"/>
        <v>9433</v>
      </c>
      <c r="I39" s="1">
        <f t="shared" si="12"/>
        <v>9433</v>
      </c>
      <c r="J39" s="1">
        <f t="shared" si="12"/>
        <v>9433</v>
      </c>
      <c r="K39" s="1">
        <f t="shared" si="12"/>
        <v>9433</v>
      </c>
      <c r="L39" s="1">
        <f t="shared" si="12"/>
        <v>9433</v>
      </c>
    </row>
    <row r="40" spans="4:12" x14ac:dyDescent="0.2">
      <c r="D40" s="18" t="s">
        <v>192</v>
      </c>
      <c r="E40" s="81">
        <f>+J10</f>
        <v>9433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4:12" x14ac:dyDescent="0.2">
      <c r="D41" s="18" t="s">
        <v>206</v>
      </c>
      <c r="E41" s="1">
        <v>0</v>
      </c>
      <c r="F41" s="1">
        <f t="shared" ref="F41:L41" si="13">+IF($H$10=1,F39*$E$10,0)</f>
        <v>0</v>
      </c>
      <c r="G41" s="1">
        <f t="shared" si="13"/>
        <v>0</v>
      </c>
      <c r="H41" s="1">
        <f t="shared" si="13"/>
        <v>0</v>
      </c>
      <c r="I41" s="1">
        <f t="shared" si="13"/>
        <v>0</v>
      </c>
      <c r="J41" s="1">
        <f t="shared" si="13"/>
        <v>0</v>
      </c>
      <c r="K41" s="1">
        <f t="shared" si="13"/>
        <v>0</v>
      </c>
      <c r="L41" s="1">
        <f t="shared" si="13"/>
        <v>0</v>
      </c>
    </row>
    <row r="42" spans="4:12" x14ac:dyDescent="0.2">
      <c r="D42" s="18" t="s">
        <v>207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4:12" x14ac:dyDescent="0.2">
      <c r="D43" s="54" t="s">
        <v>208</v>
      </c>
      <c r="E43" s="55">
        <f t="shared" ref="E43:L43" si="14">+SUM(E39:E42)</f>
        <v>9433</v>
      </c>
      <c r="F43" s="55">
        <f t="shared" si="14"/>
        <v>9433</v>
      </c>
      <c r="G43" s="55">
        <f t="shared" si="14"/>
        <v>9433</v>
      </c>
      <c r="H43" s="55">
        <f t="shared" si="14"/>
        <v>9433</v>
      </c>
      <c r="I43" s="55">
        <f t="shared" si="14"/>
        <v>9433</v>
      </c>
      <c r="J43" s="55">
        <f t="shared" si="14"/>
        <v>9433</v>
      </c>
      <c r="K43" s="55">
        <f t="shared" si="14"/>
        <v>9433</v>
      </c>
      <c r="L43" s="55">
        <f t="shared" si="14"/>
        <v>9433</v>
      </c>
    </row>
    <row r="44" spans="4:12" x14ac:dyDescent="0.2">
      <c r="D44" s="18" t="s">
        <v>209</v>
      </c>
      <c r="F44" s="1">
        <f t="shared" ref="F44:L44" si="15">+IF($H$10=0,-F39*$E$10,0)</f>
        <v>-707.47500000000002</v>
      </c>
      <c r="G44" s="1">
        <f t="shared" si="15"/>
        <v>-707.47500000000002</v>
      </c>
      <c r="H44" s="1">
        <f t="shared" si="15"/>
        <v>-707.47500000000002</v>
      </c>
      <c r="I44" s="1">
        <f t="shared" si="15"/>
        <v>-707.47500000000002</v>
      </c>
      <c r="J44" s="1">
        <f t="shared" si="15"/>
        <v>-707.47500000000002</v>
      </c>
      <c r="K44" s="1">
        <f t="shared" si="15"/>
        <v>-707.47500000000002</v>
      </c>
      <c r="L44" s="1">
        <f t="shared" si="15"/>
        <v>-707.47500000000002</v>
      </c>
    </row>
    <row r="45" spans="4:12" x14ac:dyDescent="0.2">
      <c r="D45" s="79" t="s">
        <v>210</v>
      </c>
      <c r="F45" s="98">
        <f t="shared" ref="F45:L45" si="16">-F39*$E$10</f>
        <v>-707.47500000000002</v>
      </c>
      <c r="G45" s="98">
        <f t="shared" si="16"/>
        <v>-707.47500000000002</v>
      </c>
      <c r="H45" s="98">
        <f t="shared" si="16"/>
        <v>-707.47500000000002</v>
      </c>
      <c r="I45" s="98">
        <f t="shared" si="16"/>
        <v>-707.47500000000002</v>
      </c>
      <c r="J45" s="98">
        <f t="shared" si="16"/>
        <v>-707.47500000000002</v>
      </c>
      <c r="K45" s="98">
        <f t="shared" si="16"/>
        <v>-707.47500000000002</v>
      </c>
      <c r="L45" s="98">
        <f t="shared" si="16"/>
        <v>-707.47500000000002</v>
      </c>
    </row>
    <row r="47" spans="4:12" x14ac:dyDescent="0.2">
      <c r="D47" s="16" t="s">
        <v>211</v>
      </c>
    </row>
    <row r="48" spans="4:12" x14ac:dyDescent="0.2">
      <c r="D48" s="18" t="s">
        <v>212</v>
      </c>
      <c r="E48" s="1">
        <v>0</v>
      </c>
      <c r="F48" s="1">
        <f t="shared" ref="F48:L48" si="17">+E52</f>
        <v>4716.5</v>
      </c>
      <c r="G48" s="1">
        <f t="shared" si="17"/>
        <v>4716.5</v>
      </c>
      <c r="H48" s="1">
        <f t="shared" si="17"/>
        <v>4716.5</v>
      </c>
      <c r="I48" s="1">
        <f t="shared" si="17"/>
        <v>4716.5</v>
      </c>
      <c r="J48" s="1">
        <f t="shared" si="17"/>
        <v>4716.5</v>
      </c>
      <c r="K48" s="1">
        <f t="shared" si="17"/>
        <v>4716.5</v>
      </c>
      <c r="L48" s="1">
        <f t="shared" si="17"/>
        <v>4716.5</v>
      </c>
    </row>
    <row r="49" spans="4:12" x14ac:dyDescent="0.2">
      <c r="D49" s="18" t="s">
        <v>192</v>
      </c>
      <c r="E49" s="81">
        <f>+J11</f>
        <v>4716.5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4:12" x14ac:dyDescent="0.2">
      <c r="D50" s="18" t="s">
        <v>213</v>
      </c>
      <c r="E50" s="1">
        <v>0</v>
      </c>
      <c r="F50" s="1">
        <f t="shared" ref="F50:L50" si="18">+IF($H$11=1,F48*$E$11,0)</f>
        <v>0</v>
      </c>
      <c r="G50" s="1">
        <f t="shared" si="18"/>
        <v>0</v>
      </c>
      <c r="H50" s="1">
        <f t="shared" si="18"/>
        <v>0</v>
      </c>
      <c r="I50" s="1">
        <f t="shared" si="18"/>
        <v>0</v>
      </c>
      <c r="J50" s="1">
        <f t="shared" si="18"/>
        <v>0</v>
      </c>
      <c r="K50" s="1">
        <f t="shared" si="18"/>
        <v>0</v>
      </c>
      <c r="L50" s="1">
        <f t="shared" si="18"/>
        <v>0</v>
      </c>
    </row>
    <row r="51" spans="4:12" x14ac:dyDescent="0.2">
      <c r="D51" s="18" t="s">
        <v>214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4:12" x14ac:dyDescent="0.2">
      <c r="D52" s="54" t="s">
        <v>215</v>
      </c>
      <c r="E52" s="55">
        <f t="shared" ref="E52:L52" si="19">+SUM(E48:E51)</f>
        <v>4716.5</v>
      </c>
      <c r="F52" s="55">
        <f t="shared" si="19"/>
        <v>4716.5</v>
      </c>
      <c r="G52" s="55">
        <f t="shared" si="19"/>
        <v>4716.5</v>
      </c>
      <c r="H52" s="55">
        <f t="shared" si="19"/>
        <v>4716.5</v>
      </c>
      <c r="I52" s="55">
        <f t="shared" si="19"/>
        <v>4716.5</v>
      </c>
      <c r="J52" s="55">
        <f t="shared" si="19"/>
        <v>4716.5</v>
      </c>
      <c r="K52" s="55">
        <f t="shared" si="19"/>
        <v>4716.5</v>
      </c>
      <c r="L52" s="55">
        <f t="shared" si="19"/>
        <v>4716.5</v>
      </c>
    </row>
    <row r="53" spans="4:12" x14ac:dyDescent="0.2">
      <c r="D53" s="18" t="s">
        <v>216</v>
      </c>
      <c r="F53" s="1">
        <f t="shared" ref="F53:L53" si="20">+IF($H$11=0,-F48*$E$11,0)</f>
        <v>-235.82500000000002</v>
      </c>
      <c r="G53" s="1">
        <f t="shared" si="20"/>
        <v>-235.82500000000002</v>
      </c>
      <c r="H53" s="1">
        <f t="shared" si="20"/>
        <v>-235.82500000000002</v>
      </c>
      <c r="I53" s="1">
        <f t="shared" si="20"/>
        <v>-235.82500000000002</v>
      </c>
      <c r="J53" s="1">
        <f t="shared" si="20"/>
        <v>-235.82500000000002</v>
      </c>
      <c r="K53" s="1">
        <f t="shared" si="20"/>
        <v>-235.82500000000002</v>
      </c>
      <c r="L53" s="1">
        <f t="shared" si="20"/>
        <v>-235.82500000000002</v>
      </c>
    </row>
    <row r="54" spans="4:12" x14ac:dyDescent="0.2">
      <c r="D54" s="79" t="s">
        <v>217</v>
      </c>
      <c r="F54" s="98">
        <f t="shared" ref="F54:L54" si="21">-F48*$E$11</f>
        <v>-235.82500000000002</v>
      </c>
      <c r="G54" s="98">
        <f t="shared" si="21"/>
        <v>-235.82500000000002</v>
      </c>
      <c r="H54" s="98">
        <f t="shared" si="21"/>
        <v>-235.82500000000002</v>
      </c>
      <c r="I54" s="98">
        <f t="shared" si="21"/>
        <v>-235.82500000000002</v>
      </c>
      <c r="J54" s="98">
        <f t="shared" si="21"/>
        <v>-235.82500000000002</v>
      </c>
      <c r="K54" s="98">
        <f t="shared" si="21"/>
        <v>-235.82500000000002</v>
      </c>
      <c r="L54" s="98">
        <f t="shared" si="21"/>
        <v>-235.82500000000002</v>
      </c>
    </row>
    <row r="56" spans="4:12" x14ac:dyDescent="0.2">
      <c r="D56" s="16" t="s">
        <v>218</v>
      </c>
    </row>
    <row r="57" spans="4:12" x14ac:dyDescent="0.2">
      <c r="D57" s="18" t="s">
        <v>219</v>
      </c>
      <c r="E57" s="1">
        <v>0</v>
      </c>
      <c r="F57" s="1">
        <f t="shared" ref="F57:L57" si="22">+E59</f>
        <v>0</v>
      </c>
      <c r="G57" s="1">
        <f t="shared" si="22"/>
        <v>0</v>
      </c>
      <c r="H57" s="1">
        <f t="shared" si="22"/>
        <v>0</v>
      </c>
      <c r="I57" s="1">
        <f t="shared" si="22"/>
        <v>0</v>
      </c>
      <c r="J57" s="1">
        <f t="shared" si="22"/>
        <v>0</v>
      </c>
      <c r="K57" s="1">
        <f t="shared" si="22"/>
        <v>0</v>
      </c>
      <c r="L57" s="1">
        <f t="shared" si="22"/>
        <v>0</v>
      </c>
    </row>
    <row r="58" spans="4:12" x14ac:dyDescent="0.2">
      <c r="D58" s="18" t="s">
        <v>220</v>
      </c>
      <c r="E58" s="1">
        <f>'LBO Summary'!F29</f>
        <v>0</v>
      </c>
      <c r="F58" s="1">
        <f t="shared" ref="F58:L58" si="23">+IF(F87&lt;0,MIN($E$14-F57,-F87),-MIN(F57,F87))</f>
        <v>0</v>
      </c>
      <c r="G58" s="1">
        <f t="shared" si="23"/>
        <v>0</v>
      </c>
      <c r="H58" s="1">
        <f t="shared" si="23"/>
        <v>0</v>
      </c>
      <c r="I58" s="1">
        <f t="shared" si="23"/>
        <v>0</v>
      </c>
      <c r="J58" s="1">
        <f t="shared" si="23"/>
        <v>0</v>
      </c>
      <c r="K58" s="1">
        <f t="shared" si="23"/>
        <v>0</v>
      </c>
      <c r="L58" s="1">
        <f t="shared" si="23"/>
        <v>0</v>
      </c>
    </row>
    <row r="59" spans="4:12" x14ac:dyDescent="0.2">
      <c r="D59" s="54" t="s">
        <v>221</v>
      </c>
      <c r="E59" s="55">
        <f t="shared" ref="E59:L59" si="24">+E57+E58</f>
        <v>0</v>
      </c>
      <c r="F59" s="55">
        <f t="shared" si="24"/>
        <v>0</v>
      </c>
      <c r="G59" s="55">
        <f t="shared" si="24"/>
        <v>0</v>
      </c>
      <c r="H59" s="55">
        <f t="shared" si="24"/>
        <v>0</v>
      </c>
      <c r="I59" s="55">
        <f t="shared" si="24"/>
        <v>0</v>
      </c>
      <c r="J59" s="55">
        <f t="shared" si="24"/>
        <v>0</v>
      </c>
      <c r="K59" s="55">
        <f t="shared" si="24"/>
        <v>0</v>
      </c>
      <c r="L59" s="55">
        <f t="shared" si="24"/>
        <v>0</v>
      </c>
    </row>
    <row r="60" spans="4:12" x14ac:dyDescent="0.2">
      <c r="D60" s="79" t="s">
        <v>222</v>
      </c>
      <c r="E60" s="98">
        <f>+$E$14-E59</f>
        <v>3500</v>
      </c>
      <c r="F60" s="98">
        <f t="shared" ref="F60:L60" si="25">+MAX(0,$E$14-F59)</f>
        <v>3500</v>
      </c>
      <c r="G60" s="98">
        <f t="shared" si="25"/>
        <v>3500</v>
      </c>
      <c r="H60" s="98">
        <f t="shared" si="25"/>
        <v>3500</v>
      </c>
      <c r="I60" s="98">
        <f t="shared" si="25"/>
        <v>3500</v>
      </c>
      <c r="J60" s="98">
        <f t="shared" si="25"/>
        <v>3500</v>
      </c>
      <c r="K60" s="98">
        <f t="shared" si="25"/>
        <v>3500</v>
      </c>
      <c r="L60" s="98">
        <f t="shared" si="25"/>
        <v>3500</v>
      </c>
    </row>
    <row r="61" spans="4:12" x14ac:dyDescent="0.2">
      <c r="D61" s="16" t="s">
        <v>223</v>
      </c>
      <c r="F61" s="38">
        <f t="shared" ref="F61:L61" si="26">-(F57*$E$15+MAX(0,$E$14-F57)*$G$15)</f>
        <v>-26.25</v>
      </c>
      <c r="G61" s="38">
        <f t="shared" si="26"/>
        <v>-26.25</v>
      </c>
      <c r="H61" s="38">
        <f t="shared" si="26"/>
        <v>-26.25</v>
      </c>
      <c r="I61" s="38">
        <f t="shared" si="26"/>
        <v>-26.25</v>
      </c>
      <c r="J61" s="38">
        <f t="shared" si="26"/>
        <v>-26.25</v>
      </c>
      <c r="K61" s="38">
        <f t="shared" si="26"/>
        <v>-26.25</v>
      </c>
      <c r="L61" s="38">
        <f t="shared" si="26"/>
        <v>-26.25</v>
      </c>
    </row>
    <row r="63" spans="4:12" x14ac:dyDescent="0.2">
      <c r="D63" s="16" t="s">
        <v>224</v>
      </c>
    </row>
    <row r="64" spans="4:12" x14ac:dyDescent="0.2">
      <c r="D64" s="18" t="s">
        <v>225</v>
      </c>
      <c r="E64" s="1">
        <v>0</v>
      </c>
      <c r="F64" s="1">
        <f t="shared" ref="F64:L64" si="27">+F21+F29+F39+F48+F57</f>
        <v>51881.5</v>
      </c>
      <c r="G64" s="1">
        <f t="shared" si="27"/>
        <v>50466.55</v>
      </c>
      <c r="H64" s="1">
        <f t="shared" si="27"/>
        <v>48344.125</v>
      </c>
      <c r="I64" s="1">
        <f t="shared" si="27"/>
        <v>45514.224999999999</v>
      </c>
      <c r="J64" s="1">
        <f t="shared" si="27"/>
        <v>41976.85</v>
      </c>
      <c r="K64" s="1">
        <f t="shared" si="27"/>
        <v>37732</v>
      </c>
      <c r="L64" s="1">
        <f t="shared" si="27"/>
        <v>37732</v>
      </c>
    </row>
    <row r="65" spans="2:13" x14ac:dyDescent="0.2">
      <c r="D65" s="18" t="s">
        <v>226</v>
      </c>
      <c r="E65" s="1">
        <f>+E22+E30+E40+E49+E58</f>
        <v>51881.5</v>
      </c>
      <c r="F65" s="1">
        <f t="shared" ref="F65:L65" si="28">+F23+F31</f>
        <v>-1414.95</v>
      </c>
      <c r="G65" s="1">
        <f t="shared" si="28"/>
        <v>-2122.4249999999997</v>
      </c>
      <c r="H65" s="1">
        <f t="shared" si="28"/>
        <v>-2829.9</v>
      </c>
      <c r="I65" s="1">
        <f t="shared" si="28"/>
        <v>-3537.375</v>
      </c>
      <c r="J65" s="1">
        <f t="shared" si="28"/>
        <v>-4244.8500000000004</v>
      </c>
      <c r="K65" s="1">
        <f t="shared" si="28"/>
        <v>0</v>
      </c>
      <c r="L65" s="1">
        <f t="shared" si="28"/>
        <v>0</v>
      </c>
    </row>
    <row r="66" spans="2:13" x14ac:dyDescent="0.2">
      <c r="D66" s="18" t="s">
        <v>227</v>
      </c>
      <c r="E66" s="1">
        <v>0</v>
      </c>
      <c r="F66" s="1">
        <f t="shared" ref="F66:L66" si="29">+F33+F58</f>
        <v>0</v>
      </c>
      <c r="G66" s="1">
        <f t="shared" si="29"/>
        <v>0</v>
      </c>
      <c r="H66" s="1">
        <f t="shared" si="29"/>
        <v>0</v>
      </c>
      <c r="I66" s="1">
        <f t="shared" si="29"/>
        <v>0</v>
      </c>
      <c r="J66" s="1">
        <f t="shared" si="29"/>
        <v>0</v>
      </c>
      <c r="K66" s="1">
        <f t="shared" si="29"/>
        <v>0</v>
      </c>
      <c r="L66" s="1">
        <f t="shared" si="29"/>
        <v>0</v>
      </c>
    </row>
    <row r="67" spans="2:13" x14ac:dyDescent="0.2">
      <c r="D67" s="79" t="s">
        <v>228</v>
      </c>
      <c r="E67" s="98">
        <f t="shared" ref="E67:L67" si="30">+E24+E34+E59</f>
        <v>37732</v>
      </c>
      <c r="F67" s="98">
        <f t="shared" si="30"/>
        <v>36317.050000000003</v>
      </c>
      <c r="G67" s="98">
        <f t="shared" si="30"/>
        <v>34194.625</v>
      </c>
      <c r="H67" s="98">
        <f t="shared" si="30"/>
        <v>31364.724999999999</v>
      </c>
      <c r="I67" s="98">
        <f t="shared" si="30"/>
        <v>27827.35</v>
      </c>
      <c r="J67" s="98">
        <f t="shared" si="30"/>
        <v>23582.5</v>
      </c>
      <c r="K67" s="98">
        <f t="shared" si="30"/>
        <v>23582.5</v>
      </c>
      <c r="L67" s="98">
        <f t="shared" si="30"/>
        <v>23582.5</v>
      </c>
    </row>
    <row r="68" spans="2:13" x14ac:dyDescent="0.2">
      <c r="D68" s="42" t="s">
        <v>229</v>
      </c>
      <c r="E68" s="43">
        <f t="shared" ref="E68:L68" si="31">+E24+E34+E43+E52+E59</f>
        <v>51881.5</v>
      </c>
      <c r="F68" s="43">
        <f t="shared" si="31"/>
        <v>50466.55</v>
      </c>
      <c r="G68" s="43">
        <f t="shared" si="31"/>
        <v>48344.125</v>
      </c>
      <c r="H68" s="43">
        <f t="shared" si="31"/>
        <v>45514.224999999999</v>
      </c>
      <c r="I68" s="43">
        <f t="shared" si="31"/>
        <v>41976.85</v>
      </c>
      <c r="J68" s="43">
        <f t="shared" si="31"/>
        <v>37732</v>
      </c>
      <c r="K68" s="43">
        <f t="shared" si="31"/>
        <v>37732</v>
      </c>
      <c r="L68" s="43">
        <f t="shared" si="31"/>
        <v>37732</v>
      </c>
    </row>
    <row r="69" spans="2:13" x14ac:dyDescent="0.2">
      <c r="D69" s="18" t="s">
        <v>230</v>
      </c>
      <c r="E69" s="1">
        <f t="shared" ref="E69:L69" si="32">-E93</f>
        <v>-1500</v>
      </c>
      <c r="F69" s="1">
        <f t="shared" si="32"/>
        <v>-3787.6939824999981</v>
      </c>
      <c r="G69" s="1">
        <f t="shared" si="32"/>
        <v>-6031.9530516117811</v>
      </c>
      <c r="H69" s="1">
        <f t="shared" si="32"/>
        <v>-8196.419125800312</v>
      </c>
      <c r="I69" s="1">
        <f t="shared" si="32"/>
        <v>-10378.349759814228</v>
      </c>
      <c r="J69" s="1">
        <f t="shared" si="32"/>
        <v>-12643.99929427652</v>
      </c>
      <c r="K69" s="1">
        <f t="shared" si="32"/>
        <v>-19921.525598162931</v>
      </c>
      <c r="L69" s="1">
        <f t="shared" si="32"/>
        <v>-27931.225067238367</v>
      </c>
    </row>
    <row r="70" spans="2:13" x14ac:dyDescent="0.2">
      <c r="D70" s="54" t="s">
        <v>231</v>
      </c>
      <c r="E70" s="55">
        <f t="shared" ref="E70:L70" si="33">+E68+E69</f>
        <v>50381.5</v>
      </c>
      <c r="F70" s="55">
        <f t="shared" si="33"/>
        <v>46678.856017500002</v>
      </c>
      <c r="G70" s="55">
        <f t="shared" si="33"/>
        <v>42312.171948388219</v>
      </c>
      <c r="H70" s="55">
        <f t="shared" si="33"/>
        <v>37317.805874199687</v>
      </c>
      <c r="I70" s="55">
        <f t="shared" si="33"/>
        <v>31598.500240185771</v>
      </c>
      <c r="J70" s="55">
        <f t="shared" si="33"/>
        <v>25088.00070572348</v>
      </c>
      <c r="K70" s="55">
        <f t="shared" si="33"/>
        <v>17810.474401837069</v>
      </c>
      <c r="L70" s="55">
        <f t="shared" si="33"/>
        <v>9800.774932761633</v>
      </c>
    </row>
    <row r="71" spans="2:13" x14ac:dyDescent="0.2">
      <c r="D71" s="16" t="s">
        <v>232</v>
      </c>
      <c r="F71" s="38">
        <f t="shared" ref="F71:L71" si="34">+F26+F36+F44+F53+F61</f>
        <v>-3056.6012499999997</v>
      </c>
      <c r="G71" s="38">
        <f t="shared" si="34"/>
        <v>-2968.1668749999999</v>
      </c>
      <c r="H71" s="38">
        <f t="shared" si="34"/>
        <v>-2844.3587499999999</v>
      </c>
      <c r="I71" s="38">
        <f t="shared" si="34"/>
        <v>-2685.1768750000001</v>
      </c>
      <c r="J71" s="38">
        <f t="shared" si="34"/>
        <v>-2490.6212499999997</v>
      </c>
      <c r="K71" s="38">
        <f t="shared" si="34"/>
        <v>-2384.5</v>
      </c>
      <c r="L71" s="38">
        <f t="shared" si="34"/>
        <v>-2384.5</v>
      </c>
    </row>
    <row r="72" spans="2:13" x14ac:dyDescent="0.2">
      <c r="D72" s="79" t="s">
        <v>233</v>
      </c>
      <c r="F72" s="98">
        <f t="shared" ref="F72:L72" si="35">+F26+F36+F45+F54+F61</f>
        <v>-3056.6012499999997</v>
      </c>
      <c r="G72" s="98">
        <f t="shared" si="35"/>
        <v>-2968.1668749999999</v>
      </c>
      <c r="H72" s="98">
        <f t="shared" si="35"/>
        <v>-2844.3587499999999</v>
      </c>
      <c r="I72" s="98">
        <f t="shared" si="35"/>
        <v>-2685.1768750000001</v>
      </c>
      <c r="J72" s="98">
        <f t="shared" si="35"/>
        <v>-2490.6212499999997</v>
      </c>
      <c r="K72" s="98">
        <f t="shared" si="35"/>
        <v>-2384.5</v>
      </c>
      <c r="L72" s="98">
        <f t="shared" si="35"/>
        <v>-2384.5</v>
      </c>
    </row>
    <row r="75" spans="2:13" ht="13.95" customHeight="1" x14ac:dyDescent="0.2">
      <c r="C75" s="14" t="s">
        <v>234</v>
      </c>
      <c r="D75" s="14"/>
      <c r="E75" s="69" t="s">
        <v>115</v>
      </c>
      <c r="F75" s="69" t="s">
        <v>115</v>
      </c>
      <c r="G75" s="69" t="s">
        <v>115</v>
      </c>
      <c r="H75" s="69" t="s">
        <v>115</v>
      </c>
      <c r="I75" s="69" t="s">
        <v>115</v>
      </c>
      <c r="J75" s="69" t="s">
        <v>115</v>
      </c>
      <c r="K75" s="69" t="s">
        <v>115</v>
      </c>
      <c r="L75" s="69" t="s">
        <v>115</v>
      </c>
      <c r="M75" s="14"/>
    </row>
    <row r="76" spans="2:13" ht="13.95" customHeight="1" x14ac:dyDescent="0.2">
      <c r="C76" s="14" t="s">
        <v>49</v>
      </c>
      <c r="D76" s="14" t="s">
        <v>189</v>
      </c>
      <c r="E76" s="52">
        <v>2025</v>
      </c>
      <c r="F76" s="53">
        <f t="shared" ref="F76:L76" si="36">+E76+1</f>
        <v>2026</v>
      </c>
      <c r="G76" s="53">
        <f t="shared" si="36"/>
        <v>2027</v>
      </c>
      <c r="H76" s="53">
        <f t="shared" si="36"/>
        <v>2028</v>
      </c>
      <c r="I76" s="53">
        <f t="shared" si="36"/>
        <v>2029</v>
      </c>
      <c r="J76" s="53">
        <f t="shared" si="36"/>
        <v>2030</v>
      </c>
      <c r="K76" s="53">
        <f t="shared" si="36"/>
        <v>2031</v>
      </c>
      <c r="L76" s="53">
        <f t="shared" si="36"/>
        <v>2032</v>
      </c>
      <c r="M76" s="14"/>
    </row>
    <row r="77" spans="2:13" x14ac:dyDescent="0.2">
      <c r="B77" s="9">
        <v>5</v>
      </c>
      <c r="D77" s="16" t="s">
        <v>235</v>
      </c>
      <c r="F77" s="38">
        <f>'Active Case'!M30</f>
        <v>10143.127139999995</v>
      </c>
      <c r="G77" s="38">
        <f>'Active Case'!N30</f>
        <v>10922.261526449996</v>
      </c>
      <c r="H77" s="38">
        <f>'Active Case'!O30</f>
        <v>11752.178795389118</v>
      </c>
      <c r="I77" s="38">
        <f>'Active Case'!P30</f>
        <v>12635.979588021728</v>
      </c>
      <c r="J77" s="38">
        <f>'Active Case'!Q30</f>
        <v>13576.947563817597</v>
      </c>
      <c r="K77" s="38">
        <f>'Active Case'!R30</f>
        <v>14578.559985258678</v>
      </c>
      <c r="L77" s="38">
        <f>'Active Case'!S30</f>
        <v>15644.498906557797</v>
      </c>
    </row>
    <row r="78" spans="2:13" x14ac:dyDescent="0.2">
      <c r="D78" s="18" t="s">
        <v>236</v>
      </c>
      <c r="F78" s="1">
        <f>'Tax &amp; WACC'!F22</f>
        <v>-1428.2605114999988</v>
      </c>
      <c r="G78" s="1">
        <f>'Tax &amp; WACC'!G22</f>
        <v>-1522.372365558213</v>
      </c>
      <c r="H78" s="1">
        <f>'Tax &amp; WACC'!H22</f>
        <v>-1734.838652497687</v>
      </c>
      <c r="I78" s="1">
        <f>'Tax &amp; WACC'!I22</f>
        <v>-1933.0579177762543</v>
      </c>
      <c r="J78" s="1">
        <f>'Tax &amp; WACC'!J22</f>
        <v>-2150.9734642560097</v>
      </c>
      <c r="K78" s="1">
        <f>'Tax &amp; WACC'!K22</f>
        <v>-2358.3134339425114</v>
      </c>
      <c r="L78" s="1">
        <f>'Tax &amp; WACC'!L22</f>
        <v>-2551.3770764439655</v>
      </c>
    </row>
    <row r="79" spans="2:13" x14ac:dyDescent="0.2">
      <c r="D79" s="18" t="s">
        <v>155</v>
      </c>
      <c r="F79" s="1">
        <f>'Active Case'!M44</f>
        <v>231.31764400000066</v>
      </c>
      <c r="G79" s="1">
        <f>'Active Case'!N44</f>
        <v>242.18247041999894</v>
      </c>
      <c r="H79" s="1">
        <f>'Active Case'!O44</f>
        <v>255.50250629309994</v>
      </c>
      <c r="I79" s="1">
        <f>'Active Case'!P44</f>
        <v>269.55514413921992</v>
      </c>
      <c r="J79" s="1">
        <f>'Active Case'!Q44</f>
        <v>284.38067706687798</v>
      </c>
      <c r="K79" s="1">
        <f>'Active Case'!R44</f>
        <v>300.02161430555589</v>
      </c>
      <c r="L79" s="1">
        <f>'Active Case'!S44</f>
        <v>316.52280309235903</v>
      </c>
    </row>
    <row r="80" spans="2:13" x14ac:dyDescent="0.2">
      <c r="D80" s="18" t="s">
        <v>237</v>
      </c>
      <c r="F80" s="1">
        <f>-'Active Case'!M52</f>
        <v>-1471.9782</v>
      </c>
      <c r="G80" s="1">
        <f>-'Active Case'!N52</f>
        <v>-1552.937001</v>
      </c>
      <c r="H80" s="1">
        <f>-'Active Case'!O52</f>
        <v>-1638.3485360549998</v>
      </c>
      <c r="I80" s="1">
        <f>-'Active Case'!P52</f>
        <v>-1728.4577055380246</v>
      </c>
      <c r="J80" s="1">
        <f>-'Active Case'!Q52</f>
        <v>-1823.5228793426159</v>
      </c>
      <c r="K80" s="1">
        <f>-'Active Case'!R52</f>
        <v>-1923.8166377064597</v>
      </c>
      <c r="L80" s="1">
        <f>-'Active Case'!S52</f>
        <v>-2029.6265527803148</v>
      </c>
    </row>
    <row r="81" spans="1:13" x14ac:dyDescent="0.2">
      <c r="D81" s="54" t="s">
        <v>238</v>
      </c>
      <c r="E81" s="54"/>
      <c r="F81" s="55">
        <f t="shared" ref="F81:L81" si="37">+SUM(F77:F80)</f>
        <v>7474.2060724999974</v>
      </c>
      <c r="G81" s="55">
        <f t="shared" si="37"/>
        <v>8089.1346303117825</v>
      </c>
      <c r="H81" s="55">
        <f t="shared" si="37"/>
        <v>8634.4941131295309</v>
      </c>
      <c r="I81" s="55">
        <f t="shared" si="37"/>
        <v>9244.019108846669</v>
      </c>
      <c r="J81" s="55">
        <f t="shared" si="37"/>
        <v>9886.8318972858488</v>
      </c>
      <c r="K81" s="55">
        <f t="shared" si="37"/>
        <v>10596.451527915262</v>
      </c>
      <c r="L81" s="55">
        <f t="shared" si="37"/>
        <v>11380.018080425876</v>
      </c>
    </row>
    <row r="82" spans="1:13" x14ac:dyDescent="0.2">
      <c r="D82" s="18" t="s">
        <v>239</v>
      </c>
      <c r="F82" s="1">
        <f>-'Active Case'!M53</f>
        <v>-714.96083999999996</v>
      </c>
      <c r="G82" s="1">
        <f>-'Active Case'!N53</f>
        <v>-754.28368620000003</v>
      </c>
      <c r="H82" s="1">
        <f>-'Active Case'!O53</f>
        <v>-795.7692889409999</v>
      </c>
      <c r="I82" s="1">
        <f>-'Active Case'!P53</f>
        <v>-839.53659983275486</v>
      </c>
      <c r="J82" s="1">
        <f>-'Active Case'!Q53</f>
        <v>-885.71111282355628</v>
      </c>
      <c r="K82" s="1">
        <f>-'Active Case'!R53</f>
        <v>-934.42522402885186</v>
      </c>
      <c r="L82" s="1">
        <f>-'Active Case'!S53</f>
        <v>-985.81861135043857</v>
      </c>
    </row>
    <row r="83" spans="1:13" x14ac:dyDescent="0.2">
      <c r="D83" s="54" t="s">
        <v>240</v>
      </c>
      <c r="E83" s="54"/>
      <c r="F83" s="55">
        <f t="shared" ref="F83:L83" si="38">+F81+F82</f>
        <v>6759.2452324999977</v>
      </c>
      <c r="G83" s="55">
        <f t="shared" si="38"/>
        <v>7334.8509441117822</v>
      </c>
      <c r="H83" s="55">
        <f t="shared" si="38"/>
        <v>7838.7248241885309</v>
      </c>
      <c r="I83" s="55">
        <f t="shared" si="38"/>
        <v>8404.4825090139148</v>
      </c>
      <c r="J83" s="55">
        <f t="shared" si="38"/>
        <v>9001.1207844622932</v>
      </c>
      <c r="K83" s="55">
        <f t="shared" si="38"/>
        <v>9662.0263038864105</v>
      </c>
      <c r="L83" s="55">
        <f t="shared" si="38"/>
        <v>10394.199469075438</v>
      </c>
    </row>
    <row r="84" spans="1:13" x14ac:dyDescent="0.2">
      <c r="D84" s="18" t="s">
        <v>241</v>
      </c>
      <c r="F84" s="1">
        <f t="shared" ref="F84:L84" si="39">+F71</f>
        <v>-3056.6012499999997</v>
      </c>
      <c r="G84" s="1">
        <f t="shared" si="39"/>
        <v>-2968.1668749999999</v>
      </c>
      <c r="H84" s="1">
        <f t="shared" si="39"/>
        <v>-2844.3587499999999</v>
      </c>
      <c r="I84" s="1">
        <f t="shared" si="39"/>
        <v>-2685.1768750000001</v>
      </c>
      <c r="J84" s="1">
        <f t="shared" si="39"/>
        <v>-2490.6212499999997</v>
      </c>
      <c r="K84" s="1">
        <f t="shared" si="39"/>
        <v>-2384.5</v>
      </c>
      <c r="L84" s="1">
        <f t="shared" si="39"/>
        <v>-2384.5</v>
      </c>
    </row>
    <row r="85" spans="1:13" x14ac:dyDescent="0.2">
      <c r="D85" s="18" t="s">
        <v>242</v>
      </c>
      <c r="F85" s="1">
        <f t="shared" ref="F85:L85" si="40">+F65</f>
        <v>-1414.95</v>
      </c>
      <c r="G85" s="1">
        <f t="shared" si="40"/>
        <v>-2122.4249999999997</v>
      </c>
      <c r="H85" s="1">
        <f t="shared" si="40"/>
        <v>-2829.9</v>
      </c>
      <c r="I85" s="1">
        <f t="shared" si="40"/>
        <v>-3537.375</v>
      </c>
      <c r="J85" s="1">
        <f t="shared" si="40"/>
        <v>-4244.8500000000004</v>
      </c>
      <c r="K85" s="1">
        <f t="shared" si="40"/>
        <v>0</v>
      </c>
      <c r="L85" s="1">
        <f t="shared" si="40"/>
        <v>0</v>
      </c>
    </row>
    <row r="86" spans="1:13" x14ac:dyDescent="0.2">
      <c r="D86" s="54" t="s">
        <v>243</v>
      </c>
      <c r="E86" s="54"/>
      <c r="F86" s="55">
        <f t="shared" ref="F86:L86" si="41">+F83+F84+F85</f>
        <v>2287.6939824999981</v>
      </c>
      <c r="G86" s="55">
        <f t="shared" si="41"/>
        <v>2244.2590691117825</v>
      </c>
      <c r="H86" s="55">
        <f t="shared" si="41"/>
        <v>2164.4660741885305</v>
      </c>
      <c r="I86" s="55">
        <f t="shared" si="41"/>
        <v>2181.9306340139146</v>
      </c>
      <c r="J86" s="55">
        <f t="shared" si="41"/>
        <v>2265.6495344622926</v>
      </c>
      <c r="K86" s="55">
        <f t="shared" si="41"/>
        <v>7277.5263038864105</v>
      </c>
      <c r="L86" s="55">
        <f t="shared" si="41"/>
        <v>8009.6994690754382</v>
      </c>
    </row>
    <row r="87" spans="1:13" x14ac:dyDescent="0.2">
      <c r="D87" s="79" t="s">
        <v>244</v>
      </c>
      <c r="F87" s="98">
        <f t="shared" ref="F87:L87" si="42">+(F92-$E$92)+F86</f>
        <v>2287.6939824999981</v>
      </c>
      <c r="G87" s="98">
        <f t="shared" si="42"/>
        <v>4531.9530516117811</v>
      </c>
      <c r="H87" s="98">
        <f t="shared" si="42"/>
        <v>6696.419125800312</v>
      </c>
      <c r="I87" s="98">
        <f t="shared" si="42"/>
        <v>8878.3497598142276</v>
      </c>
      <c r="J87" s="98">
        <f t="shared" si="42"/>
        <v>11143.99929427652</v>
      </c>
      <c r="K87" s="98">
        <f t="shared" si="42"/>
        <v>18421.525598162931</v>
      </c>
      <c r="L87" s="98">
        <f t="shared" si="42"/>
        <v>26431.225067238367</v>
      </c>
    </row>
    <row r="88" spans="1:13" x14ac:dyDescent="0.2">
      <c r="D88" s="18" t="s">
        <v>245</v>
      </c>
      <c r="F88" s="1">
        <f t="shared" ref="F88:L88" si="43">+F58</f>
        <v>0</v>
      </c>
      <c r="G88" s="1">
        <f t="shared" si="43"/>
        <v>0</v>
      </c>
      <c r="H88" s="1">
        <f t="shared" si="43"/>
        <v>0</v>
      </c>
      <c r="I88" s="1">
        <f t="shared" si="43"/>
        <v>0</v>
      </c>
      <c r="J88" s="1">
        <f t="shared" si="43"/>
        <v>0</v>
      </c>
      <c r="K88" s="1">
        <f t="shared" si="43"/>
        <v>0</v>
      </c>
      <c r="L88" s="1">
        <f t="shared" si="43"/>
        <v>0</v>
      </c>
    </row>
    <row r="89" spans="1:13" x14ac:dyDescent="0.2">
      <c r="D89" s="18" t="s">
        <v>246</v>
      </c>
      <c r="F89" s="1">
        <f t="shared" ref="F89:L89" si="44">+F33</f>
        <v>0</v>
      </c>
      <c r="G89" s="1">
        <f t="shared" si="44"/>
        <v>0</v>
      </c>
      <c r="H89" s="1">
        <f t="shared" si="44"/>
        <v>0</v>
      </c>
      <c r="I89" s="1">
        <f t="shared" si="44"/>
        <v>0</v>
      </c>
      <c r="J89" s="1">
        <f t="shared" si="44"/>
        <v>0</v>
      </c>
      <c r="K89" s="1">
        <f t="shared" si="44"/>
        <v>0</v>
      </c>
      <c r="L89" s="1">
        <f t="shared" si="44"/>
        <v>0</v>
      </c>
    </row>
    <row r="90" spans="1:13" x14ac:dyDescent="0.2">
      <c r="D90" s="54" t="s">
        <v>247</v>
      </c>
      <c r="E90" s="54"/>
      <c r="F90" s="55">
        <f t="shared" ref="F90:L90" si="45">+F86+F88+F89</f>
        <v>2287.6939824999981</v>
      </c>
      <c r="G90" s="55">
        <f t="shared" si="45"/>
        <v>2244.2590691117825</v>
      </c>
      <c r="H90" s="55">
        <f t="shared" si="45"/>
        <v>2164.4660741885305</v>
      </c>
      <c r="I90" s="55">
        <f t="shared" si="45"/>
        <v>2181.9306340139146</v>
      </c>
      <c r="J90" s="55">
        <f t="shared" si="45"/>
        <v>2265.6495344622926</v>
      </c>
      <c r="K90" s="55">
        <f t="shared" si="45"/>
        <v>7277.5263038864105</v>
      </c>
      <c r="L90" s="55">
        <f t="shared" si="45"/>
        <v>8009.6994690754382</v>
      </c>
    </row>
    <row r="92" spans="1:13" x14ac:dyDescent="0.2">
      <c r="D92" s="18" t="s">
        <v>248</v>
      </c>
      <c r="E92" s="81">
        <f>'LBO Summary'!F18</f>
        <v>1500</v>
      </c>
      <c r="F92" s="1">
        <f t="shared" ref="F92:L92" si="46">+E93</f>
        <v>1500</v>
      </c>
      <c r="G92" s="1">
        <f t="shared" si="46"/>
        <v>3787.6939824999981</v>
      </c>
      <c r="H92" s="1">
        <f t="shared" si="46"/>
        <v>6031.9530516117811</v>
      </c>
      <c r="I92" s="1">
        <f t="shared" si="46"/>
        <v>8196.419125800312</v>
      </c>
      <c r="J92" s="1">
        <f t="shared" si="46"/>
        <v>10378.349759814228</v>
      </c>
      <c r="K92" s="1">
        <f t="shared" si="46"/>
        <v>12643.99929427652</v>
      </c>
      <c r="L92" s="1">
        <f t="shared" si="46"/>
        <v>19921.525598162931</v>
      </c>
    </row>
    <row r="93" spans="1:13" x14ac:dyDescent="0.2">
      <c r="D93" s="42" t="s">
        <v>249</v>
      </c>
      <c r="E93" s="43">
        <f>+E92</f>
        <v>1500</v>
      </c>
      <c r="F93" s="43">
        <f t="shared" ref="F93:L93" si="47">+F92+F90</f>
        <v>3787.6939824999981</v>
      </c>
      <c r="G93" s="43">
        <f t="shared" si="47"/>
        <v>6031.9530516117811</v>
      </c>
      <c r="H93" s="43">
        <f t="shared" si="47"/>
        <v>8196.419125800312</v>
      </c>
      <c r="I93" s="43">
        <f t="shared" si="47"/>
        <v>10378.349759814228</v>
      </c>
      <c r="J93" s="43">
        <f t="shared" si="47"/>
        <v>12643.99929427652</v>
      </c>
      <c r="K93" s="43">
        <f t="shared" si="47"/>
        <v>19921.525598162931</v>
      </c>
      <c r="L93" s="43">
        <f t="shared" si="47"/>
        <v>27931.225067238367</v>
      </c>
    </row>
    <row r="95" spans="1:13" ht="16.05" customHeight="1" x14ac:dyDescent="0.2">
      <c r="A95" s="12" t="s">
        <v>4</v>
      </c>
      <c r="B95" s="12" t="s">
        <v>4</v>
      </c>
      <c r="C95" s="13" t="s">
        <v>250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7" spans="2:12" x14ac:dyDescent="0.2">
      <c r="B97" s="9">
        <v>6</v>
      </c>
      <c r="D97" s="18" t="s">
        <v>251</v>
      </c>
      <c r="E97" s="99">
        <f>+(E67-E93)/'Active Case'!L30</f>
        <v>3.8409837803455953</v>
      </c>
      <c r="F97" s="99">
        <f>+(F67-F93)/'Active Case'!M30</f>
        <v>3.2070342379145238</v>
      </c>
      <c r="G97" s="99">
        <f>+(G67-G93)/'Active Case'!N30</f>
        <v>2.5784652638272596</v>
      </c>
      <c r="H97" s="99">
        <f>+(H67-H93)/'Active Case'!O30</f>
        <v>1.9714051562327832</v>
      </c>
      <c r="I97" s="99">
        <f>+(I67-I93)/'Active Case'!P30</f>
        <v>1.3808981028053056</v>
      </c>
      <c r="J97" s="99">
        <f>+(J67-J93)/'Active Case'!Q30</f>
        <v>0.80566715414549095</v>
      </c>
      <c r="K97" s="99">
        <f>+(K67-K93)/'Active Case'!R30</f>
        <v>0.25112044025877156</v>
      </c>
      <c r="L97" s="99">
        <f>+(L67-L93)/'Active Case'!S30</f>
        <v>-0.27797151530468556</v>
      </c>
    </row>
    <row r="98" spans="2:12" x14ac:dyDescent="0.2">
      <c r="D98" s="16" t="s">
        <v>252</v>
      </c>
      <c r="E98" s="100">
        <f>+(E67+E43-E93)/'Active Case'!L30</f>
        <v>4.8409837803455948</v>
      </c>
      <c r="F98" s="100">
        <f>+(F67+F43-F93)/'Active Case'!M30</f>
        <v>4.1370235666295736</v>
      </c>
      <c r="G98" s="100">
        <f>+(G67+G43-G93)/'Active Case'!N30</f>
        <v>3.4421142413907879</v>
      </c>
      <c r="H98" s="100">
        <f>+(H67+H43-H93)/'Active Case'!O30</f>
        <v>2.7740648301734971</v>
      </c>
      <c r="I98" s="100">
        <f>+(I67+I43-I93)/'Active Case'!P30</f>
        <v>2.1274171941262514</v>
      </c>
      <c r="J98" s="100">
        <f>+(J67+J43-J93)/'Active Case'!Q30</f>
        <v>1.5004477707502741</v>
      </c>
      <c r="K98" s="100">
        <f>+(K67+K43-K93)/'Active Case'!R30</f>
        <v>0.89816651405058046</v>
      </c>
      <c r="L98" s="100">
        <f>+(L67+L43-L93)/'Active Case'!S30</f>
        <v>0.32498803337385435</v>
      </c>
    </row>
    <row r="99" spans="2:12" x14ac:dyDescent="0.2">
      <c r="D99" s="16" t="s">
        <v>253</v>
      </c>
      <c r="E99" s="100">
        <f>+E70/'Active Case'!L30</f>
        <v>5.3409837803455948</v>
      </c>
      <c r="F99" s="100">
        <f>+F70/'Active Case'!M30</f>
        <v>4.6020182309870981</v>
      </c>
      <c r="G99" s="100">
        <f>+G70/'Active Case'!N30</f>
        <v>3.8739387301725521</v>
      </c>
      <c r="H99" s="100">
        <f>+H70/'Active Case'!O30</f>
        <v>3.1753946671438538</v>
      </c>
      <c r="I99" s="100">
        <f>+I70/'Active Case'!P30</f>
        <v>2.5006767397867242</v>
      </c>
      <c r="J99" s="100">
        <f>+J70/'Active Case'!Q30</f>
        <v>1.8478380790526658</v>
      </c>
      <c r="K99" s="100">
        <f>+K70/'Active Case'!R30</f>
        <v>1.2216895509464849</v>
      </c>
      <c r="L99" s="100">
        <f>+L70/'Active Case'!S30</f>
        <v>0.62646780771312427</v>
      </c>
    </row>
    <row r="100" spans="2:12" x14ac:dyDescent="0.2">
      <c r="D100" s="79" t="s">
        <v>254</v>
      </c>
      <c r="E100" s="101">
        <f>+ROUNDUP((E99/(1-$E$16))*20,0)/20</f>
        <v>7.15</v>
      </c>
      <c r="F100" s="101">
        <f t="shared" ref="F100:L100" si="48">+MAX(2,E100-0.65)</f>
        <v>6.5</v>
      </c>
      <c r="G100" s="101">
        <f t="shared" si="48"/>
        <v>5.85</v>
      </c>
      <c r="H100" s="101">
        <f t="shared" si="48"/>
        <v>5.1999999999999993</v>
      </c>
      <c r="I100" s="101">
        <f t="shared" si="48"/>
        <v>4.5499999999999989</v>
      </c>
      <c r="J100" s="101">
        <f t="shared" si="48"/>
        <v>3.899999999999999</v>
      </c>
      <c r="K100" s="101">
        <f t="shared" si="48"/>
        <v>3.2499999999999991</v>
      </c>
      <c r="L100" s="101">
        <f t="shared" si="48"/>
        <v>2.5999999999999992</v>
      </c>
    </row>
    <row r="101" spans="2:12" x14ac:dyDescent="0.2">
      <c r="D101" s="18" t="s">
        <v>255</v>
      </c>
      <c r="E101" s="99">
        <f t="shared" ref="E101:L101" si="49">+E100-E99</f>
        <v>1.8090162196544055</v>
      </c>
      <c r="F101" s="99">
        <f t="shared" si="49"/>
        <v>1.8979817690129019</v>
      </c>
      <c r="G101" s="99">
        <f t="shared" si="49"/>
        <v>1.9760612698274476</v>
      </c>
      <c r="H101" s="99">
        <f t="shared" si="49"/>
        <v>2.0246053328561455</v>
      </c>
      <c r="I101" s="99">
        <f t="shared" si="49"/>
        <v>2.0493232602132747</v>
      </c>
      <c r="J101" s="99">
        <f t="shared" si="49"/>
        <v>2.0521619209473334</v>
      </c>
      <c r="K101" s="99">
        <f t="shared" si="49"/>
        <v>2.0283104490535142</v>
      </c>
      <c r="L101" s="99">
        <f t="shared" si="49"/>
        <v>1.9735321922868749</v>
      </c>
    </row>
    <row r="102" spans="2:12" x14ac:dyDescent="0.2">
      <c r="D102" s="54" t="s">
        <v>256</v>
      </c>
      <c r="E102" s="102" t="str">
        <f t="shared" ref="E102:L102" si="50">IF(E99&lt;=E100,"COMPLIANT","BREACH")</f>
        <v>COMPLIANT</v>
      </c>
      <c r="F102" s="102" t="str">
        <f t="shared" si="50"/>
        <v>COMPLIANT</v>
      </c>
      <c r="G102" s="102" t="str">
        <f t="shared" si="50"/>
        <v>COMPLIANT</v>
      </c>
      <c r="H102" s="102" t="str">
        <f t="shared" si="50"/>
        <v>COMPLIANT</v>
      </c>
      <c r="I102" s="102" t="str">
        <f t="shared" si="50"/>
        <v>COMPLIANT</v>
      </c>
      <c r="J102" s="102" t="str">
        <f t="shared" si="50"/>
        <v>COMPLIANT</v>
      </c>
      <c r="K102" s="102" t="str">
        <f t="shared" si="50"/>
        <v>COMPLIANT</v>
      </c>
      <c r="L102" s="102" t="str">
        <f t="shared" si="50"/>
        <v>COMPLIANT</v>
      </c>
    </row>
    <row r="104" spans="2:12" x14ac:dyDescent="0.2">
      <c r="D104" s="18" t="s">
        <v>257</v>
      </c>
      <c r="F104" s="1">
        <f t="shared" ref="F104:L104" si="51">-(F84+F85)</f>
        <v>4471.5512499999995</v>
      </c>
      <c r="G104" s="1">
        <f t="shared" si="51"/>
        <v>5090.5918750000001</v>
      </c>
      <c r="H104" s="1">
        <f t="shared" si="51"/>
        <v>5674.25875</v>
      </c>
      <c r="I104" s="1">
        <f t="shared" si="51"/>
        <v>6222.5518750000001</v>
      </c>
      <c r="J104" s="1">
        <f t="shared" si="51"/>
        <v>6735.4712500000005</v>
      </c>
      <c r="K104" s="1">
        <f t="shared" si="51"/>
        <v>2384.5</v>
      </c>
      <c r="L104" s="1">
        <f t="shared" si="51"/>
        <v>2384.5</v>
      </c>
    </row>
    <row r="105" spans="2:12" x14ac:dyDescent="0.2">
      <c r="D105" s="16" t="s">
        <v>258</v>
      </c>
      <c r="F105" s="100">
        <f t="shared" ref="F105:L105" si="52">+F81/F104</f>
        <v>1.6715018244507425</v>
      </c>
      <c r="G105" s="100">
        <f t="shared" si="52"/>
        <v>1.5890361727950901</v>
      </c>
      <c r="H105" s="100">
        <f t="shared" si="52"/>
        <v>1.5216955189309143</v>
      </c>
      <c r="I105" s="100">
        <f t="shared" si="52"/>
        <v>1.4855672229886663</v>
      </c>
      <c r="J105" s="100">
        <f t="shared" si="52"/>
        <v>1.4678753023087803</v>
      </c>
      <c r="K105" s="100">
        <f t="shared" si="52"/>
        <v>4.4438882482345408</v>
      </c>
      <c r="L105" s="100">
        <f t="shared" si="52"/>
        <v>4.7724965738837808</v>
      </c>
    </row>
    <row r="106" spans="2:12" x14ac:dyDescent="0.2">
      <c r="D106" s="18" t="s">
        <v>259</v>
      </c>
      <c r="F106" s="99">
        <f t="shared" ref="F106:L106" si="53">+F83/F104</f>
        <v>1.5116108157096484</v>
      </c>
      <c r="G106" s="99">
        <f t="shared" si="53"/>
        <v>1.4408640732197338</v>
      </c>
      <c r="H106" s="99">
        <f t="shared" si="53"/>
        <v>1.3814535377309911</v>
      </c>
      <c r="I106" s="99">
        <f t="shared" si="53"/>
        <v>1.3506488459791128</v>
      </c>
      <c r="J106" s="99">
        <f t="shared" si="53"/>
        <v>1.3363758006482906</v>
      </c>
      <c r="K106" s="99">
        <f t="shared" si="53"/>
        <v>4.052013547446597</v>
      </c>
      <c r="L106" s="99">
        <f t="shared" si="53"/>
        <v>4.359068764552501</v>
      </c>
    </row>
    <row r="107" spans="2:12" x14ac:dyDescent="0.2">
      <c r="D107" s="79" t="s">
        <v>260</v>
      </c>
      <c r="F107" s="101">
        <f t="shared" ref="F107:L107" si="54">+$G$16</f>
        <v>1.25</v>
      </c>
      <c r="G107" s="101">
        <f t="shared" si="54"/>
        <v>1.25</v>
      </c>
      <c r="H107" s="101">
        <f t="shared" si="54"/>
        <v>1.25</v>
      </c>
      <c r="I107" s="101">
        <f t="shared" si="54"/>
        <v>1.25</v>
      </c>
      <c r="J107" s="101">
        <f t="shared" si="54"/>
        <v>1.25</v>
      </c>
      <c r="K107" s="101">
        <f t="shared" si="54"/>
        <v>1.25</v>
      </c>
      <c r="L107" s="101">
        <f t="shared" si="54"/>
        <v>1.25</v>
      </c>
    </row>
    <row r="108" spans="2:12" x14ac:dyDescent="0.2">
      <c r="D108" s="42" t="s">
        <v>261</v>
      </c>
      <c r="E108" s="42"/>
      <c r="F108" s="103" t="str">
        <f t="shared" ref="F108:L108" si="55">IF(F105&gt;=$G$16,"COMPLIANT","BREACH")</f>
        <v>COMPLIANT</v>
      </c>
      <c r="G108" s="103" t="str">
        <f t="shared" si="55"/>
        <v>COMPLIANT</v>
      </c>
      <c r="H108" s="103" t="str">
        <f t="shared" si="55"/>
        <v>COMPLIANT</v>
      </c>
      <c r="I108" s="103" t="str">
        <f t="shared" si="55"/>
        <v>COMPLIANT</v>
      </c>
      <c r="J108" s="103" t="str">
        <f t="shared" si="55"/>
        <v>COMPLIANT</v>
      </c>
      <c r="K108" s="103" t="str">
        <f t="shared" si="55"/>
        <v>COMPLIANT</v>
      </c>
      <c r="L108" s="103" t="str">
        <f t="shared" si="55"/>
        <v>COMPLIANT</v>
      </c>
    </row>
    <row r="109" spans="2:12" x14ac:dyDescent="0.2">
      <c r="D109" s="79" t="s">
        <v>262</v>
      </c>
      <c r="F109" s="101">
        <f t="shared" ref="F109:L109" si="56">+F77/-F84</f>
        <v>3.3184332238298979</v>
      </c>
      <c r="G109" s="101">
        <f t="shared" si="56"/>
        <v>3.6798003570638178</v>
      </c>
      <c r="H109" s="101">
        <f t="shared" si="56"/>
        <v>4.1317498347875841</v>
      </c>
      <c r="I109" s="101">
        <f t="shared" si="56"/>
        <v>4.7058276516781516</v>
      </c>
      <c r="J109" s="101">
        <f t="shared" si="56"/>
        <v>5.4512293122921038</v>
      </c>
      <c r="K109" s="101">
        <f t="shared" si="56"/>
        <v>6.1138855044070786</v>
      </c>
      <c r="L109" s="101">
        <f t="shared" si="56"/>
        <v>6.5609137792232319</v>
      </c>
    </row>
  </sheetData>
  <dataValidations count="1">
    <dataValidation type="list" sqref="H10 H11" xr:uid="{00000000-0002-0000-0300-000000000000}">
      <formula1>"0,1"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4"/>
  <sheetViews>
    <sheetView showGridLines="0" topLeftCell="A8" workbookViewId="0"/>
  </sheetViews>
  <sheetFormatPr baseColWidth="10" defaultColWidth="9.140625" defaultRowHeight="10.199999999999999" x14ac:dyDescent="0.2"/>
  <cols>
    <col min="1" max="1" width="2.85546875" customWidth="1"/>
    <col min="2" max="2" width="3.42578125" customWidth="1"/>
    <col min="3" max="3" width="4.42578125" customWidth="1"/>
    <col min="4" max="4" width="50" customWidth="1"/>
    <col min="5" max="13" width="12" customWidth="1"/>
  </cols>
  <sheetData>
    <row r="1" spans="1:13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5" t="s">
        <v>1</v>
      </c>
    </row>
    <row r="2" spans="1:13" ht="16.05" customHeight="1" x14ac:dyDescent="0.25">
      <c r="A2" s="6" t="s">
        <v>2</v>
      </c>
      <c r="B2" s="6" t="s">
        <v>263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16.05" customHeight="1" x14ac:dyDescent="0.2">
      <c r="A4" s="12" t="s">
        <v>4</v>
      </c>
      <c r="B4" s="12" t="s">
        <v>4</v>
      </c>
      <c r="C4" s="13" t="s">
        <v>264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1:13" x14ac:dyDescent="0.2">
      <c r="B6" s="9">
        <v>7</v>
      </c>
      <c r="D6" s="14" t="s">
        <v>265</v>
      </c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D7" s="18" t="s">
        <v>266</v>
      </c>
      <c r="E7" s="88">
        <v>0.25</v>
      </c>
      <c r="G7" s="116" t="s">
        <v>267</v>
      </c>
      <c r="H7" s="115"/>
      <c r="I7" s="115"/>
      <c r="J7" s="88">
        <v>3.15E-2</v>
      </c>
    </row>
    <row r="8" spans="1:13" x14ac:dyDescent="0.2">
      <c r="D8" s="18" t="s">
        <v>268</v>
      </c>
      <c r="E8" s="88">
        <v>0.3</v>
      </c>
      <c r="G8" s="116" t="s">
        <v>269</v>
      </c>
      <c r="H8" s="115"/>
      <c r="I8" s="115"/>
      <c r="J8" s="88">
        <v>5.5E-2</v>
      </c>
    </row>
    <row r="9" spans="1:13" x14ac:dyDescent="0.2">
      <c r="D9" s="18" t="s">
        <v>270</v>
      </c>
      <c r="E9" s="94">
        <v>1</v>
      </c>
      <c r="G9" s="116" t="s">
        <v>271</v>
      </c>
      <c r="H9" s="115"/>
      <c r="I9" s="115"/>
      <c r="J9" s="104">
        <v>0.78</v>
      </c>
    </row>
    <row r="10" spans="1:13" x14ac:dyDescent="0.2">
      <c r="D10" s="18" t="s">
        <v>272</v>
      </c>
      <c r="E10" s="93">
        <v>0.7</v>
      </c>
      <c r="G10" s="116" t="s">
        <v>273</v>
      </c>
      <c r="H10" s="115"/>
      <c r="I10" s="115"/>
      <c r="J10" s="47">
        <f>'LBO Summary'!L16</f>
        <v>0.28606741463346769</v>
      </c>
    </row>
    <row r="11" spans="1:13" x14ac:dyDescent="0.2">
      <c r="D11" s="18" t="s">
        <v>274</v>
      </c>
      <c r="E11" s="81">
        <f>'LBO Summary'!I30</f>
        <v>836.80499999999995</v>
      </c>
      <c r="G11" s="116" t="s">
        <v>275</v>
      </c>
      <c r="H11" s="115"/>
      <c r="I11" s="115"/>
      <c r="J11" s="105">
        <f>'LBO Summary'!L14</f>
        <v>7</v>
      </c>
    </row>
    <row r="12" spans="1:13" ht="13.95" customHeight="1" x14ac:dyDescent="0.2">
      <c r="C12" s="14" t="s">
        <v>276</v>
      </c>
      <c r="D12" s="14"/>
      <c r="E12" s="69" t="s">
        <v>115</v>
      </c>
      <c r="F12" s="69" t="s">
        <v>115</v>
      </c>
      <c r="G12" s="69" t="s">
        <v>115</v>
      </c>
      <c r="H12" s="69" t="s">
        <v>115</v>
      </c>
      <c r="I12" s="69" t="s">
        <v>115</v>
      </c>
      <c r="J12" s="69" t="s">
        <v>115</v>
      </c>
      <c r="K12" s="69" t="s">
        <v>115</v>
      </c>
      <c r="L12" s="69" t="s">
        <v>115</v>
      </c>
      <c r="M12" s="14"/>
    </row>
    <row r="13" spans="1:13" ht="13.95" customHeight="1" x14ac:dyDescent="0.2">
      <c r="C13" s="14" t="s">
        <v>49</v>
      </c>
      <c r="D13" s="14" t="s">
        <v>189</v>
      </c>
      <c r="E13" s="52">
        <v>2025</v>
      </c>
      <c r="F13" s="53">
        <f t="shared" ref="F13:L13" si="0">+E13+1</f>
        <v>2026</v>
      </c>
      <c r="G13" s="53">
        <f t="shared" si="0"/>
        <v>2027</v>
      </c>
      <c r="H13" s="53">
        <f t="shared" si="0"/>
        <v>2028</v>
      </c>
      <c r="I13" s="53">
        <f t="shared" si="0"/>
        <v>2029</v>
      </c>
      <c r="J13" s="53">
        <f t="shared" si="0"/>
        <v>2030</v>
      </c>
      <c r="K13" s="53">
        <f t="shared" si="0"/>
        <v>2031</v>
      </c>
      <c r="L13" s="53">
        <f t="shared" si="0"/>
        <v>2032</v>
      </c>
      <c r="M13" s="14"/>
    </row>
    <row r="14" spans="1:13" x14ac:dyDescent="0.2">
      <c r="D14" s="16" t="s">
        <v>75</v>
      </c>
      <c r="E14" s="1">
        <f>'Active Case'!L30</f>
        <v>9433</v>
      </c>
      <c r="F14" s="38">
        <f>'Active Case'!M30</f>
        <v>10143.127139999995</v>
      </c>
      <c r="G14" s="38">
        <f>'Active Case'!N30</f>
        <v>10922.261526449996</v>
      </c>
      <c r="H14" s="38">
        <f>'Active Case'!O30</f>
        <v>11752.178795389118</v>
      </c>
      <c r="I14" s="38">
        <f>'Active Case'!P30</f>
        <v>12635.979588021728</v>
      </c>
      <c r="J14" s="38">
        <f>'Active Case'!Q30</f>
        <v>13576.947563817597</v>
      </c>
      <c r="K14" s="38">
        <f>'Active Case'!R30</f>
        <v>14578.559985258678</v>
      </c>
      <c r="L14" s="38">
        <f>'Active Case'!S30</f>
        <v>15644.498906557797</v>
      </c>
    </row>
    <row r="15" spans="1:13" x14ac:dyDescent="0.2">
      <c r="D15" s="18" t="s">
        <v>277</v>
      </c>
      <c r="E15" s="1">
        <f>'Active Case'!L32</f>
        <v>-1674</v>
      </c>
      <c r="F15" s="1">
        <f>'Active Case'!M32</f>
        <v>-1387.1469520000001</v>
      </c>
      <c r="G15" s="1">
        <f>'Active Case'!N32</f>
        <v>-1611.85493836</v>
      </c>
      <c r="H15" s="1">
        <f>'Active Case'!O32</f>
        <v>-1848.9218639697999</v>
      </c>
      <c r="I15" s="1">
        <f>'Active Case'!P32</f>
        <v>-2099.027470488139</v>
      </c>
      <c r="J15" s="1">
        <f>'Active Case'!Q32</f>
        <v>-2362.8888853649864</v>
      </c>
      <c r="K15" s="1">
        <f>'Active Case'!R32</f>
        <v>-2641.2626780600604</v>
      </c>
      <c r="L15" s="1">
        <f>'Active Case'!S32</f>
        <v>-2934.9470293533641</v>
      </c>
    </row>
    <row r="16" spans="1:13" x14ac:dyDescent="0.2">
      <c r="D16" s="16" t="s">
        <v>278</v>
      </c>
      <c r="E16" s="38">
        <f t="shared" ref="E16:L16" si="1">+E14+E15</f>
        <v>7759</v>
      </c>
      <c r="F16" s="38">
        <f t="shared" si="1"/>
        <v>8755.9801879999941</v>
      </c>
      <c r="G16" s="38">
        <f t="shared" si="1"/>
        <v>9310.4065880899961</v>
      </c>
      <c r="H16" s="38">
        <f t="shared" si="1"/>
        <v>9903.2569314193188</v>
      </c>
      <c r="I16" s="38">
        <f t="shared" si="1"/>
        <v>10536.952117533589</v>
      </c>
      <c r="J16" s="38">
        <f t="shared" si="1"/>
        <v>11214.058678452611</v>
      </c>
      <c r="K16" s="38">
        <f t="shared" si="1"/>
        <v>11937.297307198618</v>
      </c>
      <c r="L16" s="38">
        <f t="shared" si="1"/>
        <v>12709.551877204434</v>
      </c>
    </row>
    <row r="17" spans="4:12" x14ac:dyDescent="0.2">
      <c r="D17" s="18" t="s">
        <v>279</v>
      </c>
      <c r="F17" s="1">
        <f>'Debt &amp; Covenants'!F72</f>
        <v>-3056.6012499999997</v>
      </c>
      <c r="G17" s="1">
        <f>'Debt &amp; Covenants'!G72</f>
        <v>-2968.1668749999999</v>
      </c>
      <c r="H17" s="1">
        <f>'Debt &amp; Covenants'!H72</f>
        <v>-2844.3587499999999</v>
      </c>
      <c r="I17" s="1">
        <f>'Debt &amp; Covenants'!I72</f>
        <v>-2685.1768750000001</v>
      </c>
      <c r="J17" s="1">
        <f>'Debt &amp; Covenants'!J72</f>
        <v>-2490.6212499999997</v>
      </c>
      <c r="K17" s="1">
        <f>'Debt &amp; Covenants'!K72</f>
        <v>-2384.5</v>
      </c>
      <c r="L17" s="1">
        <f>'Debt &amp; Covenants'!L72</f>
        <v>-2384.5</v>
      </c>
    </row>
    <row r="18" spans="4:12" x14ac:dyDescent="0.2">
      <c r="D18" s="18" t="s">
        <v>280</v>
      </c>
      <c r="F18" s="1">
        <f t="shared" ref="F18:L18" si="2">-$E$11/$J$11</f>
        <v>-119.54357142857143</v>
      </c>
      <c r="G18" s="1">
        <f t="shared" si="2"/>
        <v>-119.54357142857143</v>
      </c>
      <c r="H18" s="1">
        <f t="shared" si="2"/>
        <v>-119.54357142857143</v>
      </c>
      <c r="I18" s="1">
        <f t="shared" si="2"/>
        <v>-119.54357142857143</v>
      </c>
      <c r="J18" s="1">
        <f t="shared" si="2"/>
        <v>-119.54357142857143</v>
      </c>
      <c r="K18" s="1">
        <f t="shared" si="2"/>
        <v>-119.54357142857143</v>
      </c>
      <c r="L18" s="1">
        <f t="shared" si="2"/>
        <v>-119.54357142857143</v>
      </c>
    </row>
    <row r="19" spans="4:12" x14ac:dyDescent="0.2">
      <c r="D19" s="79" t="s">
        <v>281</v>
      </c>
      <c r="F19" s="98">
        <f t="shared" ref="F19:L19" si="3">+F16+F17+F18</f>
        <v>5579.835366571423</v>
      </c>
      <c r="G19" s="98">
        <f t="shared" si="3"/>
        <v>6222.6961416614249</v>
      </c>
      <c r="H19" s="98">
        <f t="shared" si="3"/>
        <v>6939.354609990748</v>
      </c>
      <c r="I19" s="98">
        <f t="shared" si="3"/>
        <v>7732.2316711050171</v>
      </c>
      <c r="J19" s="98">
        <f t="shared" si="3"/>
        <v>8603.8938570240389</v>
      </c>
      <c r="K19" s="98">
        <f t="shared" si="3"/>
        <v>9433.2537357700458</v>
      </c>
      <c r="L19" s="98">
        <f t="shared" si="3"/>
        <v>10205.508305775862</v>
      </c>
    </row>
    <row r="20" spans="4:12" x14ac:dyDescent="0.2">
      <c r="D20" s="18" t="s">
        <v>282</v>
      </c>
      <c r="F20" s="1">
        <f t="shared" ref="F20:L20" si="4">+F30</f>
        <v>133.20667942857244</v>
      </c>
      <c r="G20" s="1">
        <f t="shared" si="4"/>
        <v>0</v>
      </c>
      <c r="H20" s="1">
        <f t="shared" si="4"/>
        <v>0</v>
      </c>
      <c r="I20" s="1">
        <f t="shared" si="4"/>
        <v>0</v>
      </c>
      <c r="J20" s="1">
        <f t="shared" si="4"/>
        <v>0</v>
      </c>
      <c r="K20" s="1">
        <f t="shared" si="4"/>
        <v>0</v>
      </c>
      <c r="L20" s="1">
        <f t="shared" si="4"/>
        <v>0</v>
      </c>
    </row>
    <row r="21" spans="4:12" x14ac:dyDescent="0.2">
      <c r="D21" s="18" t="s">
        <v>283</v>
      </c>
      <c r="F21" s="1">
        <f t="shared" ref="F21:L21" si="5">+F34</f>
        <v>0</v>
      </c>
      <c r="G21" s="1">
        <f t="shared" si="5"/>
        <v>-133.20667942857244</v>
      </c>
      <c r="H21" s="1">
        <f t="shared" si="5"/>
        <v>0</v>
      </c>
      <c r="I21" s="1">
        <f t="shared" si="5"/>
        <v>0</v>
      </c>
      <c r="J21" s="1">
        <f t="shared" si="5"/>
        <v>0</v>
      </c>
      <c r="K21" s="1">
        <f t="shared" si="5"/>
        <v>0</v>
      </c>
      <c r="L21" s="1">
        <f t="shared" si="5"/>
        <v>0</v>
      </c>
    </row>
    <row r="22" spans="4:12" x14ac:dyDescent="0.2">
      <c r="D22" s="54" t="s">
        <v>284</v>
      </c>
      <c r="E22" s="54"/>
      <c r="F22" s="55">
        <f t="shared" ref="F22:L22" si="6">-MAX(0,F23)*$E$7</f>
        <v>-1428.2605114999988</v>
      </c>
      <c r="G22" s="55">
        <f t="shared" si="6"/>
        <v>-1522.372365558213</v>
      </c>
      <c r="H22" s="55">
        <f t="shared" si="6"/>
        <v>-1734.838652497687</v>
      </c>
      <c r="I22" s="55">
        <f t="shared" si="6"/>
        <v>-1933.0579177762543</v>
      </c>
      <c r="J22" s="55">
        <f t="shared" si="6"/>
        <v>-2150.9734642560097</v>
      </c>
      <c r="K22" s="55">
        <f t="shared" si="6"/>
        <v>-2358.3134339425114</v>
      </c>
      <c r="L22" s="55">
        <f t="shared" si="6"/>
        <v>-2551.3770764439655</v>
      </c>
    </row>
    <row r="23" spans="4:12" x14ac:dyDescent="0.2">
      <c r="D23" s="79" t="s">
        <v>285</v>
      </c>
      <c r="F23" s="98">
        <f t="shared" ref="F23:L23" si="7">+F19+F20+F21</f>
        <v>5713.042045999995</v>
      </c>
      <c r="G23" s="98">
        <f t="shared" si="7"/>
        <v>6089.489462232852</v>
      </c>
      <c r="H23" s="98">
        <f t="shared" si="7"/>
        <v>6939.354609990748</v>
      </c>
      <c r="I23" s="98">
        <f t="shared" si="7"/>
        <v>7732.2316711050171</v>
      </c>
      <c r="J23" s="98">
        <f t="shared" si="7"/>
        <v>8603.8938570240389</v>
      </c>
      <c r="K23" s="98">
        <f t="shared" si="7"/>
        <v>9433.2537357700458</v>
      </c>
      <c r="L23" s="98">
        <f t="shared" si="7"/>
        <v>10205.508305775862</v>
      </c>
    </row>
    <row r="24" spans="4:12" x14ac:dyDescent="0.2">
      <c r="D24" s="42" t="s">
        <v>286</v>
      </c>
      <c r="E24" s="42"/>
      <c r="F24" s="43">
        <f t="shared" ref="F24:L24" si="8">+F19+F22</f>
        <v>4151.5748550714243</v>
      </c>
      <c r="G24" s="43">
        <f t="shared" si="8"/>
        <v>4700.3237761032124</v>
      </c>
      <c r="H24" s="43">
        <f t="shared" si="8"/>
        <v>5204.5159574930613</v>
      </c>
      <c r="I24" s="43">
        <f t="shared" si="8"/>
        <v>5799.1737533287633</v>
      </c>
      <c r="J24" s="43">
        <f t="shared" si="8"/>
        <v>6452.9203927680292</v>
      </c>
      <c r="K24" s="43">
        <f t="shared" si="8"/>
        <v>7074.9403018275343</v>
      </c>
      <c r="L24" s="43">
        <f t="shared" si="8"/>
        <v>7654.131229331897</v>
      </c>
    </row>
    <row r="26" spans="4:12" x14ac:dyDescent="0.2">
      <c r="D26" s="14" t="s">
        <v>287</v>
      </c>
      <c r="E26" s="14"/>
      <c r="F26" s="14"/>
      <c r="G26" s="14"/>
      <c r="H26" s="14"/>
      <c r="I26" s="14"/>
      <c r="J26" s="14"/>
      <c r="K26" s="14"/>
      <c r="L26" s="14"/>
    </row>
    <row r="27" spans="4:12" x14ac:dyDescent="0.2">
      <c r="D27" s="18" t="s">
        <v>288</v>
      </c>
      <c r="F27" s="1">
        <f t="shared" ref="F27:L27" si="9">+F14</f>
        <v>10143.127139999995</v>
      </c>
      <c r="G27" s="1">
        <f t="shared" si="9"/>
        <v>10922.261526449996</v>
      </c>
      <c r="H27" s="1">
        <f t="shared" si="9"/>
        <v>11752.178795389118</v>
      </c>
      <c r="I27" s="1">
        <f t="shared" si="9"/>
        <v>12635.979588021728</v>
      </c>
      <c r="J27" s="1">
        <f t="shared" si="9"/>
        <v>13576.947563817597</v>
      </c>
      <c r="K27" s="1">
        <f t="shared" si="9"/>
        <v>14578.559985258678</v>
      </c>
      <c r="L27" s="1">
        <f t="shared" si="9"/>
        <v>15644.498906557797</v>
      </c>
    </row>
    <row r="28" spans="4:12" x14ac:dyDescent="0.2">
      <c r="D28" s="16" t="s">
        <v>289</v>
      </c>
      <c r="F28" s="38">
        <f t="shared" ref="F28:L28" si="10">+MAX($E$9,$E$8*F27)</f>
        <v>3042.9381419999986</v>
      </c>
      <c r="G28" s="38">
        <f t="shared" si="10"/>
        <v>3276.6784579349987</v>
      </c>
      <c r="H28" s="38">
        <f t="shared" si="10"/>
        <v>3525.6536386167354</v>
      </c>
      <c r="I28" s="38">
        <f t="shared" si="10"/>
        <v>3790.7938764065184</v>
      </c>
      <c r="J28" s="38">
        <f t="shared" si="10"/>
        <v>4073.084269145279</v>
      </c>
      <c r="K28" s="38">
        <f t="shared" si="10"/>
        <v>4373.5679955776031</v>
      </c>
      <c r="L28" s="38">
        <f t="shared" si="10"/>
        <v>4693.3496719673394</v>
      </c>
    </row>
    <row r="29" spans="4:12" x14ac:dyDescent="0.2">
      <c r="D29" s="18" t="s">
        <v>290</v>
      </c>
      <c r="F29" s="1">
        <f t="shared" ref="F29:L29" si="11">-(F17+F18)</f>
        <v>3176.144821428571</v>
      </c>
      <c r="G29" s="1">
        <f t="shared" si="11"/>
        <v>3087.7104464285712</v>
      </c>
      <c r="H29" s="1">
        <f t="shared" si="11"/>
        <v>2963.9023214285712</v>
      </c>
      <c r="I29" s="1">
        <f t="shared" si="11"/>
        <v>2804.7204464285714</v>
      </c>
      <c r="J29" s="1">
        <f t="shared" si="11"/>
        <v>2610.164821428571</v>
      </c>
      <c r="K29" s="1">
        <f t="shared" si="11"/>
        <v>2504.0435714285713</v>
      </c>
      <c r="L29" s="1">
        <f t="shared" si="11"/>
        <v>2504.0435714285713</v>
      </c>
    </row>
    <row r="30" spans="4:12" x14ac:dyDescent="0.2">
      <c r="D30" s="16" t="s">
        <v>291</v>
      </c>
      <c r="F30" s="38">
        <f t="shared" ref="F30:L30" si="12">+MAX(0,F29-F28)</f>
        <v>133.20667942857244</v>
      </c>
      <c r="G30" s="38">
        <f t="shared" si="12"/>
        <v>0</v>
      </c>
      <c r="H30" s="38">
        <f t="shared" si="12"/>
        <v>0</v>
      </c>
      <c r="I30" s="38">
        <f t="shared" si="12"/>
        <v>0</v>
      </c>
      <c r="J30" s="38">
        <f t="shared" si="12"/>
        <v>0</v>
      </c>
      <c r="K30" s="38">
        <f t="shared" si="12"/>
        <v>0</v>
      </c>
      <c r="L30" s="38">
        <f t="shared" si="12"/>
        <v>0</v>
      </c>
    </row>
    <row r="31" spans="4:12" x14ac:dyDescent="0.2">
      <c r="D31" s="18" t="s">
        <v>292</v>
      </c>
      <c r="F31" s="1">
        <f t="shared" ref="F31:L31" si="13">+MAX(0,F28-F29)</f>
        <v>0</v>
      </c>
      <c r="G31" s="1">
        <f t="shared" si="13"/>
        <v>188.9680115064275</v>
      </c>
      <c r="H31" s="1">
        <f t="shared" si="13"/>
        <v>561.75131718816419</v>
      </c>
      <c r="I31" s="1">
        <f t="shared" si="13"/>
        <v>986.07342997794694</v>
      </c>
      <c r="J31" s="1">
        <f t="shared" si="13"/>
        <v>1462.919447716708</v>
      </c>
      <c r="K31" s="1">
        <f t="shared" si="13"/>
        <v>1869.5244241490318</v>
      </c>
      <c r="L31" s="1">
        <f t="shared" si="13"/>
        <v>2189.3061005387681</v>
      </c>
    </row>
    <row r="32" spans="4:12" x14ac:dyDescent="0.2">
      <c r="D32" s="18" t="s">
        <v>293</v>
      </c>
      <c r="F32" s="1">
        <f t="shared" ref="F32:L32" si="14">+E35</f>
        <v>0</v>
      </c>
      <c r="G32" s="1">
        <f t="shared" si="14"/>
        <v>133.20667942857244</v>
      </c>
      <c r="H32" s="1">
        <f t="shared" si="14"/>
        <v>0</v>
      </c>
      <c r="I32" s="1">
        <f t="shared" si="14"/>
        <v>0</v>
      </c>
      <c r="J32" s="1">
        <f t="shared" si="14"/>
        <v>0</v>
      </c>
      <c r="K32" s="1">
        <f t="shared" si="14"/>
        <v>0</v>
      </c>
      <c r="L32" s="1">
        <f t="shared" si="14"/>
        <v>0</v>
      </c>
    </row>
    <row r="33" spans="1:13" x14ac:dyDescent="0.2">
      <c r="D33" s="18" t="s">
        <v>294</v>
      </c>
      <c r="F33" s="1">
        <f t="shared" ref="F33:L33" si="15">+F30</f>
        <v>133.20667942857244</v>
      </c>
      <c r="G33" s="1">
        <f t="shared" si="15"/>
        <v>0</v>
      </c>
      <c r="H33" s="1">
        <f t="shared" si="15"/>
        <v>0</v>
      </c>
      <c r="I33" s="1">
        <f t="shared" si="15"/>
        <v>0</v>
      </c>
      <c r="J33" s="1">
        <f t="shared" si="15"/>
        <v>0</v>
      </c>
      <c r="K33" s="1">
        <f t="shared" si="15"/>
        <v>0</v>
      </c>
      <c r="L33" s="1">
        <f t="shared" si="15"/>
        <v>0</v>
      </c>
    </row>
    <row r="34" spans="1:13" x14ac:dyDescent="0.2">
      <c r="D34" s="18" t="s">
        <v>295</v>
      </c>
      <c r="F34" s="1">
        <f t="shared" ref="F34:L34" si="16">-MIN(F32,F31)</f>
        <v>0</v>
      </c>
      <c r="G34" s="1">
        <f t="shared" si="16"/>
        <v>-133.20667942857244</v>
      </c>
      <c r="H34" s="1">
        <f t="shared" si="16"/>
        <v>0</v>
      </c>
      <c r="I34" s="1">
        <f t="shared" si="16"/>
        <v>0</v>
      </c>
      <c r="J34" s="1">
        <f t="shared" si="16"/>
        <v>0</v>
      </c>
      <c r="K34" s="1">
        <f t="shared" si="16"/>
        <v>0</v>
      </c>
      <c r="L34" s="1">
        <f t="shared" si="16"/>
        <v>0</v>
      </c>
    </row>
    <row r="35" spans="1:13" x14ac:dyDescent="0.2">
      <c r="D35" s="54" t="s">
        <v>296</v>
      </c>
      <c r="E35" s="55">
        <v>0</v>
      </c>
      <c r="F35" s="55">
        <f t="shared" ref="F35:L35" si="17">+F32+F33+F34</f>
        <v>133.20667942857244</v>
      </c>
      <c r="G35" s="55">
        <f t="shared" si="17"/>
        <v>0</v>
      </c>
      <c r="H35" s="55">
        <f t="shared" si="17"/>
        <v>0</v>
      </c>
      <c r="I35" s="55">
        <f t="shared" si="17"/>
        <v>0</v>
      </c>
      <c r="J35" s="55">
        <f t="shared" si="17"/>
        <v>0</v>
      </c>
      <c r="K35" s="55">
        <f t="shared" si="17"/>
        <v>0</v>
      </c>
      <c r="L35" s="55">
        <f t="shared" si="17"/>
        <v>0</v>
      </c>
    </row>
    <row r="37" spans="1:13" x14ac:dyDescent="0.2">
      <c r="D37" s="18" t="s">
        <v>297</v>
      </c>
      <c r="F37" s="1">
        <f t="shared" ref="F37:L37" si="18">-MAX(0,F16)*$E$7</f>
        <v>-2188.9950469999985</v>
      </c>
      <c r="G37" s="1">
        <f t="shared" si="18"/>
        <v>-2327.601647022499</v>
      </c>
      <c r="H37" s="1">
        <f t="shared" si="18"/>
        <v>-2475.8142328548297</v>
      </c>
      <c r="I37" s="1">
        <f t="shared" si="18"/>
        <v>-2634.2380293833971</v>
      </c>
      <c r="J37" s="1">
        <f t="shared" si="18"/>
        <v>-2803.5146696131528</v>
      </c>
      <c r="K37" s="1">
        <f t="shared" si="18"/>
        <v>-2984.3243267996545</v>
      </c>
      <c r="L37" s="1">
        <f t="shared" si="18"/>
        <v>-3177.3879693011086</v>
      </c>
    </row>
    <row r="38" spans="1:13" x14ac:dyDescent="0.2">
      <c r="D38" s="79" t="s">
        <v>298</v>
      </c>
      <c r="F38" s="98">
        <f t="shared" ref="F38:L38" si="19">+F29*$E$7</f>
        <v>794.03620535714276</v>
      </c>
      <c r="G38" s="98">
        <f t="shared" si="19"/>
        <v>771.92761160714281</v>
      </c>
      <c r="H38" s="98">
        <f t="shared" si="19"/>
        <v>740.9755803571428</v>
      </c>
      <c r="I38" s="98">
        <f t="shared" si="19"/>
        <v>701.18011160714286</v>
      </c>
      <c r="J38" s="98">
        <f t="shared" si="19"/>
        <v>652.54120535714276</v>
      </c>
      <c r="K38" s="98">
        <f t="shared" si="19"/>
        <v>626.01089285714284</v>
      </c>
      <c r="L38" s="98">
        <f t="shared" si="19"/>
        <v>626.01089285714284</v>
      </c>
    </row>
    <row r="39" spans="1:13" x14ac:dyDescent="0.2">
      <c r="D39" s="54" t="s">
        <v>299</v>
      </c>
      <c r="E39" s="54"/>
      <c r="F39" s="55">
        <f t="shared" ref="F39:L39" si="20">+F22-F37</f>
        <v>760.73453549999977</v>
      </c>
      <c r="G39" s="55">
        <f t="shared" si="20"/>
        <v>805.22928146428603</v>
      </c>
      <c r="H39" s="55">
        <f t="shared" si="20"/>
        <v>740.97558035714269</v>
      </c>
      <c r="I39" s="55">
        <f t="shared" si="20"/>
        <v>701.18011160714286</v>
      </c>
      <c r="J39" s="55">
        <f t="shared" si="20"/>
        <v>652.5412053571431</v>
      </c>
      <c r="K39" s="55">
        <f t="shared" si="20"/>
        <v>626.01089285714306</v>
      </c>
      <c r="L39" s="55">
        <f t="shared" si="20"/>
        <v>626.01089285714306</v>
      </c>
    </row>
    <row r="40" spans="1:13" x14ac:dyDescent="0.2">
      <c r="D40" s="79" t="s">
        <v>300</v>
      </c>
      <c r="F40" s="80">
        <f t="shared" ref="F40:L40" si="21">+IFERROR(F39/F38,0)</f>
        <v>0.95806026270280142</v>
      </c>
      <c r="G40" s="80">
        <f t="shared" si="21"/>
        <v>1.0431409232632702</v>
      </c>
      <c r="H40" s="80">
        <f t="shared" si="21"/>
        <v>0.99999999999999989</v>
      </c>
      <c r="I40" s="80">
        <f t="shared" si="21"/>
        <v>1</v>
      </c>
      <c r="J40" s="80">
        <f t="shared" si="21"/>
        <v>1.0000000000000004</v>
      </c>
      <c r="K40" s="80">
        <f t="shared" si="21"/>
        <v>1.0000000000000004</v>
      </c>
      <c r="L40" s="80">
        <f t="shared" si="21"/>
        <v>1.0000000000000004</v>
      </c>
    </row>
    <row r="41" spans="1:13" x14ac:dyDescent="0.2">
      <c r="D41" s="16" t="s">
        <v>301</v>
      </c>
      <c r="F41" s="50">
        <f t="shared" ref="F41:L41" si="22">+IFERROR(F39/F29,0)</f>
        <v>0.23951506567570036</v>
      </c>
      <c r="G41" s="50">
        <f t="shared" si="22"/>
        <v>0.26078523081581756</v>
      </c>
      <c r="H41" s="50">
        <f t="shared" si="22"/>
        <v>0.24999999999999997</v>
      </c>
      <c r="I41" s="50">
        <f t="shared" si="22"/>
        <v>0.25</v>
      </c>
      <c r="J41" s="50">
        <f t="shared" si="22"/>
        <v>0.25000000000000011</v>
      </c>
      <c r="K41" s="50">
        <f t="shared" si="22"/>
        <v>0.25000000000000011</v>
      </c>
      <c r="L41" s="50">
        <f t="shared" si="22"/>
        <v>0.25000000000000011</v>
      </c>
    </row>
    <row r="44" spans="1:13" ht="16.05" customHeight="1" x14ac:dyDescent="0.2">
      <c r="A44" s="12" t="s">
        <v>4</v>
      </c>
      <c r="B44" s="12" t="s">
        <v>4</v>
      </c>
      <c r="C44" s="13" t="s">
        <v>302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6" spans="1:13" x14ac:dyDescent="0.2">
      <c r="B46" s="9">
        <v>8</v>
      </c>
      <c r="D46" s="18" t="s">
        <v>303</v>
      </c>
      <c r="E46" s="1">
        <f>'LBO Summary'!E51</f>
        <v>170403.096532</v>
      </c>
      <c r="F46" s="1">
        <f>'LBO Summary'!F51</f>
        <v>183231.23854275077</v>
      </c>
      <c r="G46" s="1">
        <f>'LBO Summary'!G51</f>
        <v>197305.96684399535</v>
      </c>
      <c r="H46" s="1">
        <f>'LBO Summary'!H51</f>
        <v>212298.06612233809</v>
      </c>
      <c r="I46" s="1">
        <f>'LBO Summary'!I51</f>
        <v>228263.54813039838</v>
      </c>
      <c r="J46" s="1">
        <f>'LBO Summary'!J51</f>
        <v>245261.73076721214</v>
      </c>
      <c r="K46" s="1">
        <f>'LBO Summary'!K51</f>
        <v>263355.4292871395</v>
      </c>
      <c r="L46" s="1">
        <f>'LBO Summary'!L51</f>
        <v>282611.15841926605</v>
      </c>
    </row>
    <row r="47" spans="1:13" x14ac:dyDescent="0.2">
      <c r="D47" s="18" t="s">
        <v>304</v>
      </c>
      <c r="E47" s="1">
        <f>'Debt &amp; Covenants'!E70</f>
        <v>50381.5</v>
      </c>
      <c r="F47" s="1">
        <f>'Debt &amp; Covenants'!F70</f>
        <v>46678.856017500002</v>
      </c>
      <c r="G47" s="1">
        <f>'Debt &amp; Covenants'!G70</f>
        <v>42312.171948388219</v>
      </c>
      <c r="H47" s="1">
        <f>'Debt &amp; Covenants'!H70</f>
        <v>37317.805874199687</v>
      </c>
      <c r="I47" s="1">
        <f>'Debt &amp; Covenants'!I70</f>
        <v>31598.500240185771</v>
      </c>
      <c r="J47" s="1">
        <f>'Debt &amp; Covenants'!J70</f>
        <v>25088.00070572348</v>
      </c>
      <c r="K47" s="1">
        <f>'Debt &amp; Covenants'!K70</f>
        <v>17810.474401837069</v>
      </c>
      <c r="L47" s="1">
        <f>'Debt &amp; Covenants'!L70</f>
        <v>9800.774932761633</v>
      </c>
    </row>
    <row r="48" spans="1:13" x14ac:dyDescent="0.2">
      <c r="D48" s="16" t="s">
        <v>305</v>
      </c>
      <c r="E48" s="38">
        <f t="shared" ref="E48:L48" si="23">+E46-E47</f>
        <v>120021.596532</v>
      </c>
      <c r="F48" s="38">
        <f t="shared" si="23"/>
        <v>136552.38252525078</v>
      </c>
      <c r="G48" s="38">
        <f t="shared" si="23"/>
        <v>154993.79489560713</v>
      </c>
      <c r="H48" s="38">
        <f t="shared" si="23"/>
        <v>174980.26024813839</v>
      </c>
      <c r="I48" s="38">
        <f t="shared" si="23"/>
        <v>196665.04789021262</v>
      </c>
      <c r="J48" s="38">
        <f t="shared" si="23"/>
        <v>220173.73006148866</v>
      </c>
      <c r="K48" s="38">
        <f t="shared" si="23"/>
        <v>245544.95488530243</v>
      </c>
      <c r="L48" s="38">
        <f t="shared" si="23"/>
        <v>272810.38348650443</v>
      </c>
    </row>
    <row r="49" spans="4:12" x14ac:dyDescent="0.2">
      <c r="D49" s="79" t="s">
        <v>306</v>
      </c>
      <c r="E49" s="101">
        <f t="shared" ref="E49:L49" si="24">+MAX(0,E47/E48)</f>
        <v>0.41977028681306827</v>
      </c>
      <c r="F49" s="101">
        <f t="shared" si="24"/>
        <v>0.34183845901676824</v>
      </c>
      <c r="G49" s="101">
        <f t="shared" si="24"/>
        <v>0.27299268320313536</v>
      </c>
      <c r="H49" s="101">
        <f t="shared" si="24"/>
        <v>0.21326866139803166</v>
      </c>
      <c r="I49" s="101">
        <f t="shared" si="24"/>
        <v>0.16067166270350944</v>
      </c>
      <c r="J49" s="101">
        <f t="shared" si="24"/>
        <v>0.11394638542353382</v>
      </c>
      <c r="K49" s="101">
        <f t="shared" si="24"/>
        <v>7.2534475042081797E-2</v>
      </c>
      <c r="L49" s="101">
        <f t="shared" si="24"/>
        <v>3.5925226919548185E-2</v>
      </c>
    </row>
    <row r="50" spans="4:12" x14ac:dyDescent="0.2">
      <c r="D50" s="18" t="s">
        <v>307</v>
      </c>
      <c r="E50" s="2">
        <f t="shared" ref="E50:L50" si="25">+MAX(0,E47/E46)</f>
        <v>0.29566070702558422</v>
      </c>
      <c r="F50" s="2">
        <f t="shared" si="25"/>
        <v>0.25475380938719727</v>
      </c>
      <c r="G50" s="2">
        <f t="shared" si="25"/>
        <v>0.21444953046880402</v>
      </c>
      <c r="H50" s="2">
        <f t="shared" si="25"/>
        <v>0.17578024404939735</v>
      </c>
      <c r="I50" s="2">
        <f t="shared" si="25"/>
        <v>0.13842990043305003</v>
      </c>
      <c r="J50" s="2">
        <f t="shared" si="25"/>
        <v>0.10229072683799789</v>
      </c>
      <c r="K50" s="2">
        <f t="shared" si="25"/>
        <v>6.7629038254677865E-2</v>
      </c>
      <c r="L50" s="2">
        <f t="shared" si="25"/>
        <v>3.4679362936624582E-2</v>
      </c>
    </row>
    <row r="51" spans="4:12" x14ac:dyDescent="0.2">
      <c r="D51" s="18" t="s">
        <v>308</v>
      </c>
      <c r="E51" s="2">
        <f t="shared" ref="E51:L51" si="26">1-E50</f>
        <v>0.70433929297441578</v>
      </c>
      <c r="F51" s="2">
        <f t="shared" si="26"/>
        <v>0.74524619061280273</v>
      </c>
      <c r="G51" s="2">
        <f t="shared" si="26"/>
        <v>0.78555046953119601</v>
      </c>
      <c r="H51" s="2">
        <f t="shared" si="26"/>
        <v>0.8242197559506026</v>
      </c>
      <c r="I51" s="2">
        <f t="shared" si="26"/>
        <v>0.86157009956694997</v>
      </c>
      <c r="J51" s="2">
        <f t="shared" si="26"/>
        <v>0.89770927316200211</v>
      </c>
      <c r="K51" s="2">
        <f t="shared" si="26"/>
        <v>0.93237096174532219</v>
      </c>
      <c r="L51" s="2">
        <f t="shared" si="26"/>
        <v>0.96532063706337545</v>
      </c>
    </row>
    <row r="53" spans="4:12" x14ac:dyDescent="0.2">
      <c r="D53" s="18" t="s">
        <v>309</v>
      </c>
      <c r="E53" s="106">
        <f t="shared" ref="E53:L53" si="27">+$J$7+$J$9*$J$8</f>
        <v>7.4399999999999994E-2</v>
      </c>
      <c r="F53" s="106">
        <f t="shared" si="27"/>
        <v>7.4399999999999994E-2</v>
      </c>
      <c r="G53" s="106">
        <f t="shared" si="27"/>
        <v>7.4399999999999994E-2</v>
      </c>
      <c r="H53" s="106">
        <f t="shared" si="27"/>
        <v>7.4399999999999994E-2</v>
      </c>
      <c r="I53" s="106">
        <f t="shared" si="27"/>
        <v>7.4399999999999994E-2</v>
      </c>
      <c r="J53" s="106">
        <f t="shared" si="27"/>
        <v>7.4399999999999994E-2</v>
      </c>
      <c r="K53" s="106">
        <f t="shared" si="27"/>
        <v>7.4399999999999994E-2</v>
      </c>
      <c r="L53" s="106">
        <f t="shared" si="27"/>
        <v>7.4399999999999994E-2</v>
      </c>
    </row>
    <row r="54" spans="4:12" x14ac:dyDescent="0.2">
      <c r="D54" s="16" t="s">
        <v>310</v>
      </c>
      <c r="E54" s="89">
        <f>+$J$9*(1+(1-$E$7)*E49)</f>
        <v>1.0255656177856451</v>
      </c>
      <c r="F54" s="89">
        <f t="shared" ref="F54:L54" si="28">+$J$9*(1+(1-F41)*F49)</f>
        <v>0.98277113848281172</v>
      </c>
      <c r="G54" s="89">
        <f t="shared" si="28"/>
        <v>0.9374041741763216</v>
      </c>
      <c r="H54" s="89">
        <f t="shared" si="28"/>
        <v>0.90476216691784861</v>
      </c>
      <c r="I54" s="89">
        <f t="shared" si="28"/>
        <v>0.87399292268155304</v>
      </c>
      <c r="J54" s="89">
        <f t="shared" si="28"/>
        <v>0.84665863547276721</v>
      </c>
      <c r="K54" s="89">
        <f t="shared" si="28"/>
        <v>0.822432667899618</v>
      </c>
      <c r="L54" s="89">
        <f t="shared" si="28"/>
        <v>0.80101625774793561</v>
      </c>
    </row>
    <row r="55" spans="4:12" x14ac:dyDescent="0.2">
      <c r="D55" s="16" t="s">
        <v>311</v>
      </c>
      <c r="E55" s="50">
        <f t="shared" ref="E55:L55" si="29">+$J$7+E54*$J$8</f>
        <v>8.7906108978210482E-2</v>
      </c>
      <c r="F55" s="50">
        <f t="shared" si="29"/>
        <v>8.5552412616554635E-2</v>
      </c>
      <c r="G55" s="50">
        <f t="shared" si="29"/>
        <v>8.3057229579697689E-2</v>
      </c>
      <c r="H55" s="50">
        <f t="shared" si="29"/>
        <v>8.1261919180481673E-2</v>
      </c>
      <c r="I55" s="50">
        <f t="shared" si="29"/>
        <v>7.956961074748542E-2</v>
      </c>
      <c r="J55" s="50">
        <f t="shared" si="29"/>
        <v>7.8066224951002197E-2</v>
      </c>
      <c r="K55" s="50">
        <f t="shared" si="29"/>
        <v>7.6733796734478998E-2</v>
      </c>
      <c r="L55" s="50">
        <f t="shared" si="29"/>
        <v>7.5555894176136451E-2</v>
      </c>
    </row>
    <row r="56" spans="4:12" x14ac:dyDescent="0.2">
      <c r="D56" s="18" t="s">
        <v>312</v>
      </c>
      <c r="E56" s="106">
        <f>'Debt &amp; Covenants'!$E$7</f>
        <v>5.909090909090909E-2</v>
      </c>
      <c r="F56" s="106">
        <f>+IFERROR(-F17/'Debt &amp; Covenants'!F64,'Debt &amp; Covenants'!$E$7)</f>
        <v>5.8915051607991285E-2</v>
      </c>
      <c r="G56" s="106">
        <f>+IFERROR(-G17/'Debt &amp; Covenants'!G64,'Debt &amp; Covenants'!$E$7)</f>
        <v>5.8814539036252722E-2</v>
      </c>
      <c r="H56" s="106">
        <f>+IFERROR(-H17/'Debt &amp; Covenants'!H64,'Debt &amp; Covenants'!$E$7)</f>
        <v>5.8835665140283329E-2</v>
      </c>
      <c r="I56" s="106">
        <f>+IFERROR(-I17/'Debt &amp; Covenants'!I64,'Debt &amp; Covenants'!$E$7)</f>
        <v>5.8996431884756916E-2</v>
      </c>
      <c r="J56" s="106">
        <f>+IFERROR(-J17/'Debt &amp; Covenants'!J64,'Debt &amp; Covenants'!$E$7)</f>
        <v>5.9333209852573496E-2</v>
      </c>
      <c r="K56" s="106">
        <f>+IFERROR(-K17/'Debt &amp; Covenants'!K64,'Debt &amp; Covenants'!$E$7)</f>
        <v>6.3195695960988021E-2</v>
      </c>
      <c r="L56" s="106">
        <f>+IFERROR(-L17/'Debt &amp; Covenants'!L64,'Debt &amp; Covenants'!$E$7)</f>
        <v>6.3195695960988021E-2</v>
      </c>
    </row>
    <row r="57" spans="4:12" x14ac:dyDescent="0.2">
      <c r="D57" s="79" t="s">
        <v>313</v>
      </c>
      <c r="E57" s="107">
        <f>+$E$7</f>
        <v>0.25</v>
      </c>
      <c r="F57" s="107">
        <f t="shared" ref="F57:L57" si="30">+F41</f>
        <v>0.23951506567570036</v>
      </c>
      <c r="G57" s="107">
        <f t="shared" si="30"/>
        <v>0.26078523081581756</v>
      </c>
      <c r="H57" s="107">
        <f t="shared" si="30"/>
        <v>0.24999999999999997</v>
      </c>
      <c r="I57" s="107">
        <f t="shared" si="30"/>
        <v>0.25</v>
      </c>
      <c r="J57" s="107">
        <f t="shared" si="30"/>
        <v>0.25000000000000011</v>
      </c>
      <c r="K57" s="107">
        <f t="shared" si="30"/>
        <v>0.25000000000000011</v>
      </c>
      <c r="L57" s="107">
        <f t="shared" si="30"/>
        <v>0.25000000000000011</v>
      </c>
    </row>
    <row r="58" spans="4:12" x14ac:dyDescent="0.2">
      <c r="D58" s="16" t="s">
        <v>314</v>
      </c>
      <c r="E58" s="50">
        <f t="shared" ref="E58:L58" si="31">+E56*(1-E57)</f>
        <v>4.4318181818181819E-2</v>
      </c>
      <c r="F58" s="50">
        <f t="shared" si="31"/>
        <v>4.4804009152815974E-2</v>
      </c>
      <c r="G58" s="50">
        <f t="shared" si="31"/>
        <v>4.3476575898357642E-2</v>
      </c>
      <c r="H58" s="50">
        <f t="shared" si="31"/>
        <v>4.4126748855212498E-2</v>
      </c>
      <c r="I58" s="50">
        <f t="shared" si="31"/>
        <v>4.4247323913567685E-2</v>
      </c>
      <c r="J58" s="50">
        <f t="shared" si="31"/>
        <v>4.4499907389430118E-2</v>
      </c>
      <c r="K58" s="50">
        <f t="shared" si="31"/>
        <v>4.7396771970741006E-2</v>
      </c>
      <c r="L58" s="50">
        <f t="shared" si="31"/>
        <v>4.7396771970741006E-2</v>
      </c>
    </row>
    <row r="59" spans="4:12" x14ac:dyDescent="0.2">
      <c r="D59" s="54" t="s">
        <v>315</v>
      </c>
      <c r="E59" s="108">
        <f t="shared" ref="E59:L59" si="32">+E55*E51+E58*E50</f>
        <v>7.5018871616296751E-2</v>
      </c>
      <c r="F59" s="108">
        <f t="shared" si="32"/>
        <v>7.5171601607720739E-2</v>
      </c>
      <c r="G59" s="108">
        <f t="shared" si="32"/>
        <v>7.4569176982085983E-2</v>
      </c>
      <c r="H59" s="108">
        <f t="shared" si="32"/>
        <v>7.4734289877889909E-2</v>
      </c>
      <c r="I59" s="108">
        <f t="shared" si="32"/>
        <v>7.4679950097998549E-2</v>
      </c>
      <c r="J59" s="108">
        <f t="shared" si="32"/>
        <v>7.4632701930353929E-2</v>
      </c>
      <c r="K59" s="108">
        <f t="shared" si="32"/>
        <v>7.4749761964453737E-2</v>
      </c>
      <c r="L59" s="108">
        <f t="shared" si="32"/>
        <v>7.4579353757198777E-2</v>
      </c>
    </row>
    <row r="60" spans="4:12" x14ac:dyDescent="0.2">
      <c r="D60" s="57" t="s">
        <v>316</v>
      </c>
      <c r="E60" s="109">
        <f t="shared" ref="E60:L60" si="33">+E59-E53</f>
        <v>6.1887161629675669E-4</v>
      </c>
      <c r="F60" s="109">
        <f t="shared" si="33"/>
        <v>7.7160160772074549E-4</v>
      </c>
      <c r="G60" s="109">
        <f t="shared" si="33"/>
        <v>1.6917698208598897E-4</v>
      </c>
      <c r="H60" s="109">
        <f t="shared" si="33"/>
        <v>3.3428987788991504E-4</v>
      </c>
      <c r="I60" s="109">
        <f t="shared" si="33"/>
        <v>2.7995009799855475E-4</v>
      </c>
      <c r="J60" s="109">
        <f t="shared" si="33"/>
        <v>2.3270193035393461E-4</v>
      </c>
      <c r="K60" s="109">
        <f t="shared" si="33"/>
        <v>3.4976196445374308E-4</v>
      </c>
      <c r="L60" s="109">
        <f t="shared" si="33"/>
        <v>1.7935375719878299E-4</v>
      </c>
    </row>
    <row r="62" spans="4:12" x14ac:dyDescent="0.2">
      <c r="D62" s="16" t="s">
        <v>317</v>
      </c>
      <c r="E62" s="38">
        <f>+SUM(F39:L39)</f>
        <v>4912.6825000000008</v>
      </c>
    </row>
    <row r="63" spans="4:12" x14ac:dyDescent="0.2">
      <c r="D63" s="16" t="s">
        <v>318</v>
      </c>
      <c r="E63" s="38">
        <f>+NPV(E53,F39:L39)</f>
        <v>3770.9031492157937</v>
      </c>
    </row>
    <row r="64" spans="4:12" x14ac:dyDescent="0.2">
      <c r="D64" s="79" t="s">
        <v>319</v>
      </c>
      <c r="E64" s="98">
        <f>+L35</f>
        <v>0</v>
      </c>
    </row>
  </sheetData>
  <mergeCells count="5">
    <mergeCell ref="G10:I10"/>
    <mergeCell ref="G8:I8"/>
    <mergeCell ref="G9:I9"/>
    <mergeCell ref="G7:I7"/>
    <mergeCell ref="G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56" customWidth="1"/>
    <col min="5" max="5" width="16" customWidth="1"/>
    <col min="6" max="6" width="14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6.05" customHeight="1" x14ac:dyDescent="0.25">
      <c r="A2" s="6" t="s">
        <v>2</v>
      </c>
      <c r="B2" s="6" t="s">
        <v>320</v>
      </c>
      <c r="C2" s="3"/>
      <c r="D2" s="3"/>
      <c r="E2" s="3"/>
      <c r="F2" s="3"/>
    </row>
    <row r="4" spans="1:6" x14ac:dyDescent="0.2">
      <c r="C4" s="7" t="s">
        <v>321</v>
      </c>
      <c r="D4" s="8" t="s">
        <v>322</v>
      </c>
      <c r="E4" s="110" t="s">
        <v>323</v>
      </c>
      <c r="F4" s="7" t="s">
        <v>324</v>
      </c>
    </row>
    <row r="5" spans="1:6" ht="19.95" customHeight="1" x14ac:dyDescent="0.2">
      <c r="C5" s="32">
        <v>1</v>
      </c>
      <c r="D5" s="18" t="s">
        <v>325</v>
      </c>
      <c r="E5" s="37">
        <f>'LBO Summary'!E40-'LBO Summary'!J40</f>
        <v>0</v>
      </c>
      <c r="F5" s="111" t="str">
        <f>IF(ABS(E5)&lt;0.01,"OK","CHECK")</f>
        <v>OK</v>
      </c>
    </row>
    <row r="6" spans="1:6" ht="19.95" customHeight="1" x14ac:dyDescent="0.2">
      <c r="C6" s="32">
        <v>2</v>
      </c>
      <c r="D6" s="18" t="s">
        <v>326</v>
      </c>
      <c r="E6" s="112">
        <f>'LBO Summary'!F45-1</f>
        <v>0</v>
      </c>
      <c r="F6" s="111" t="str">
        <f>IF(ABS(E6)&lt;0.0001,"OK","CHECK")</f>
        <v>OK</v>
      </c>
    </row>
    <row r="7" spans="1:6" ht="19.95" customHeight="1" x14ac:dyDescent="0.2">
      <c r="C7" s="32">
        <v>3</v>
      </c>
      <c r="D7" s="18" t="s">
        <v>327</v>
      </c>
      <c r="E7" s="112">
        <f>'LBO Summary'!F14+'LBO Summary'!F15</f>
        <v>1</v>
      </c>
      <c r="F7" s="111" t="str">
        <f>IF(E7&gt;=0.75,"OK","CHECK")</f>
        <v>OK</v>
      </c>
    </row>
    <row r="8" spans="1:6" ht="19.95" customHeight="1" x14ac:dyDescent="0.2">
      <c r="C8" s="32">
        <v>4</v>
      </c>
      <c r="D8" s="18" t="s">
        <v>328</v>
      </c>
      <c r="E8" s="46">
        <f>'Tax &amp; WACC'!J10-'Tax &amp; WACC'!E10</f>
        <v>-0.41393258536653227</v>
      </c>
      <c r="F8" s="111" t="str">
        <f>IF(E8&lt;=0,"OK","BREACH")</f>
        <v>OK</v>
      </c>
    </row>
    <row r="9" spans="1:6" ht="19.95" customHeight="1" x14ac:dyDescent="0.2">
      <c r="C9" s="32">
        <v>5</v>
      </c>
      <c r="D9" s="18" t="s">
        <v>329</v>
      </c>
      <c r="E9" s="112">
        <f>'Debt &amp; Covenants'!M25</f>
        <v>0</v>
      </c>
      <c r="F9" s="111" t="str">
        <f>IF(ABS(E9)&lt;0.0001,"OK","CHECK")</f>
        <v>OK</v>
      </c>
    </row>
    <row r="10" spans="1:6" ht="19.95" customHeight="1" x14ac:dyDescent="0.2">
      <c r="C10" s="32">
        <v>6</v>
      </c>
      <c r="D10" s="18" t="s">
        <v>330</v>
      </c>
      <c r="E10" s="37">
        <f>MIN('Debt &amp; Covenants'!E93:L93)-'Debt &amp; Covenants'!E92</f>
        <v>0</v>
      </c>
      <c r="F10" s="111" t="str">
        <f>IF(E10&gt;=-0.01,"OK","CHECK")</f>
        <v>OK</v>
      </c>
    </row>
    <row r="11" spans="1:6" ht="19.95" customHeight="1" x14ac:dyDescent="0.2">
      <c r="C11" s="32">
        <v>7</v>
      </c>
      <c r="D11" s="18" t="s">
        <v>331</v>
      </c>
      <c r="E11" s="37">
        <f>MIN('Debt &amp; Covenants'!E24:L24,'Debt &amp; Covenants'!E34:L34,'Debt &amp; Covenants'!E43:L43,'Debt &amp; Covenants'!E52:L52)</f>
        <v>0</v>
      </c>
      <c r="F11" s="111" t="str">
        <f>IF(E11&gt;=-0.01,"OK","CHECK")</f>
        <v>OK</v>
      </c>
    </row>
    <row r="12" spans="1:6" ht="19.95" customHeight="1" x14ac:dyDescent="0.2">
      <c r="C12" s="32">
        <v>8</v>
      </c>
      <c r="D12" s="18" t="s">
        <v>332</v>
      </c>
      <c r="E12" s="37">
        <f>MAX(ABS('Active Case'!M32-'Active Case'!M49),ABS('Active Case'!S32-'Active Case'!S49))</f>
        <v>0</v>
      </c>
      <c r="F12" s="111" t="str">
        <f>IF(E12&lt;0.01,"OK","CHECK")</f>
        <v>OK</v>
      </c>
    </row>
    <row r="13" spans="1:6" ht="19.95" customHeight="1" x14ac:dyDescent="0.2">
      <c r="C13" s="32">
        <v>9</v>
      </c>
      <c r="D13" s="18" t="s">
        <v>333</v>
      </c>
      <c r="E13" s="113">
        <f>COUNTIF('Debt &amp; Covenants'!E102:L102,"BREACH")</f>
        <v>0</v>
      </c>
      <c r="F13" s="111" t="str">
        <f>IF(E13=0,"OK","BREACH")</f>
        <v>OK</v>
      </c>
    </row>
    <row r="14" spans="1:6" ht="19.95" customHeight="1" x14ac:dyDescent="0.2">
      <c r="C14" s="32">
        <v>10</v>
      </c>
      <c r="D14" s="18" t="s">
        <v>334</v>
      </c>
      <c r="E14" s="113">
        <f>COUNTIF('Debt &amp; Covenants'!F108:L108,"BREACH")</f>
        <v>0</v>
      </c>
      <c r="F14" s="111" t="str">
        <f>IF(E14=0,"OK","BREACH")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Instructions</vt:lpstr>
      <vt:lpstr>LBO Summary</vt:lpstr>
      <vt:lpstr>Active Case</vt:lpstr>
      <vt:lpstr>Debt &amp; Covenants</vt:lpstr>
      <vt:lpstr>Tax &amp; WACC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ANXO BRANDAN HERRERA CASTRO</cp:lastModifiedBy>
  <dcterms:created xsi:type="dcterms:W3CDTF">2024-02-23T12:53:07Z</dcterms:created>
  <dcterms:modified xsi:type="dcterms:W3CDTF">2026-10-27T08:40:02Z</dcterms:modified>
</cp:coreProperties>
</file>